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pivotTables/pivotTable2.xml" ContentType="application/vnd.openxmlformats-officedocument.spreadsheetml.pivotTab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pivotTables/pivotTable3.xml" ContentType="application/vnd.openxmlformats-officedocument.spreadsheetml.pivotTable+xml"/>
  <Override PartName="/xl/drawings/drawing3.xml" ContentType="application/vnd.openxmlformats-officedocument.drawing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pivotTables/pivotTable4.xml" ContentType="application/vnd.openxmlformats-officedocument.spreadsheetml.pivotTable+xml"/>
  <Override PartName="/xl/drawings/drawing4.xml" ContentType="application/vnd.openxmlformats-officedocument.drawing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pivotTables/pivotTable5.xml" ContentType="application/vnd.openxmlformats-officedocument.spreadsheetml.pivotTable+xml"/>
  <Override PartName="/xl/drawings/drawing5.xml" ContentType="application/vnd.openxmlformats-officedocument.drawing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pivotTables/pivotTable6.xml" ContentType="application/vnd.openxmlformats-officedocument.spreadsheetml.pivotTable+xml"/>
  <Override PartName="/xl/drawings/drawing6.xml" ContentType="application/vnd.openxmlformats-officedocument.drawing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pivotTables/pivotTable7.xml" ContentType="application/vnd.openxmlformats-officedocument.spreadsheetml.pivotTable+xml"/>
  <Override PartName="/xl/drawings/drawing7.xml" ContentType="application/vnd.openxmlformats-officedocument.drawing+xml"/>
  <Override PartName="/xl/charts/chart7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xl/drawings/drawing8.xml" ContentType="application/vnd.openxmlformats-officedocument.drawing+xml"/>
  <Override PartName="/xl/charts/chart8.xml" ContentType="application/vnd.openxmlformats-officedocument.drawingml.chart+xml"/>
  <Override PartName="/xl/charts/style8.xml" ContentType="application/vnd.ms-office.chartstyle+xml"/>
  <Override PartName="/xl/charts/colors8.xml" ContentType="application/vnd.ms-office.chartcolorstyle+xml"/>
  <Override PartName="/xl/charts/chart9.xml" ContentType="application/vnd.openxmlformats-officedocument.drawingml.chart+xml"/>
  <Override PartName="/xl/charts/style9.xml" ContentType="application/vnd.ms-office.chartstyle+xml"/>
  <Override PartName="/xl/charts/colors9.xml" ContentType="application/vnd.ms-office.chartcolorstyle+xml"/>
  <Override PartName="/xl/charts/chart10.xml" ContentType="application/vnd.openxmlformats-officedocument.drawingml.chart+xml"/>
  <Override PartName="/xl/charts/style10.xml" ContentType="application/vnd.ms-office.chartstyle+xml"/>
  <Override PartName="/xl/charts/colors10.xml" ContentType="application/vnd.ms-office.chartcolorstyle+xml"/>
  <Override PartName="/xl/charts/chart11.xml" ContentType="application/vnd.openxmlformats-officedocument.drawingml.chart+xml"/>
  <Override PartName="/xl/charts/style11.xml" ContentType="application/vnd.ms-office.chartstyle+xml"/>
  <Override PartName="/xl/charts/colors11.xml" ContentType="application/vnd.ms-office.chartcolorstyle+xml"/>
  <Override PartName="/xl/charts/chart12.xml" ContentType="application/vnd.openxmlformats-officedocument.drawingml.chart+xml"/>
  <Override PartName="/xl/charts/style12.xml" ContentType="application/vnd.ms-office.chartstyle+xml"/>
  <Override PartName="/xl/charts/colors12.xml" ContentType="application/vnd.ms-office.chartcolorstyle+xml"/>
  <Override PartName="/xl/charts/chart13.xml" ContentType="application/vnd.openxmlformats-officedocument.drawingml.chart+xml"/>
  <Override PartName="/xl/charts/style13.xml" ContentType="application/vnd.ms-office.chartstyle+xml"/>
  <Override PartName="/xl/charts/colors13.xml" ContentType="application/vnd.ms-office.chartcolorstyle+xml"/>
  <Override PartName="/xl/charts/chart14.xml" ContentType="application/vnd.openxmlformats-officedocument.drawingml.chart+xml"/>
  <Override PartName="/xl/charts/style14.xml" ContentType="application/vnd.ms-office.chartstyle+xml"/>
  <Override PartName="/xl/charts/colors14.xml" ContentType="application/vnd.ms-office.chartcolorstyle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527"/>
  <workbookPr hidePivotFieldList="1" defaultThemeVersion="166925"/>
  <mc:AlternateContent xmlns:mc="http://schemas.openxmlformats.org/markup-compatibility/2006">
    <mc:Choice Requires="x15">
      <x15ac:absPath xmlns:x15ac="http://schemas.microsoft.com/office/spreadsheetml/2010/11/ac" url="C:\Users\satya\Documents\ecommerce-profitability-analysis\excel\"/>
    </mc:Choice>
  </mc:AlternateContent>
  <xr:revisionPtr revIDLastSave="0" documentId="8_{8040A774-4D69-42AE-8F6B-6EF10F55BB0C}" xr6:coauthVersionLast="47" xr6:coauthVersionMax="47" xr10:uidLastSave="{00000000-0000-0000-0000-000000000000}"/>
  <bookViews>
    <workbookView xWindow="-108" yWindow="-108" windowWidth="23256" windowHeight="12456" firstSheet="6" activeTab="8" xr2:uid="{5AB6543E-165F-460F-97EE-C13881E423F1}"/>
  </bookViews>
  <sheets>
    <sheet name="Monthly Analysis" sheetId="3" r:id="rId1"/>
    <sheet name="Category Analysis" sheetId="4" r:id="rId2"/>
    <sheet name="Product Analysis" sheetId="5" r:id="rId3"/>
    <sheet name="Region Analysis" sheetId="6" r:id="rId4"/>
    <sheet name="State Analysis" sheetId="7" r:id="rId5"/>
    <sheet name="Payment Analysis" sheetId="9" r:id="rId6"/>
    <sheet name="Order Status Analysis" sheetId="10" r:id="rId7"/>
    <sheet name="KPI Summary" sheetId="11" r:id="rId8"/>
    <sheet name="Dashboard" sheetId="12" r:id="rId9"/>
    <sheet name="ecommerce_sales_cleaned" sheetId="1" r:id="rId10"/>
    <sheet name="Cleaning_log" sheetId="2" r:id="rId11"/>
  </sheets>
  <definedNames>
    <definedName name="_xlnm._FilterDatabase" localSheetId="9" hidden="1">ecommerce_sales_cleaned!$A$1:$N$851</definedName>
  </definedNames>
  <calcPr calcId="191029"/>
  <pivotCaches>
    <pivotCache cacheId="0" r:id="rId12"/>
  </pivotCaches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B6" i="12" l="1"/>
  <c r="B4" i="12"/>
  <c r="B5" i="12" s="1"/>
  <c r="B3" i="12"/>
  <c r="B6" i="11"/>
  <c r="B4" i="11"/>
  <c r="B5" i="11" s="1"/>
  <c r="B3" i="11"/>
  <c r="D5" i="10"/>
  <c r="D6" i="10"/>
  <c r="D7" i="10"/>
  <c r="D8" i="10"/>
  <c r="D4" i="10"/>
  <c r="D5" i="9"/>
  <c r="D6" i="9"/>
  <c r="D7" i="9"/>
  <c r="D8" i="9"/>
  <c r="D9" i="9"/>
  <c r="D4" i="9"/>
  <c r="D5" i="7"/>
  <c r="D6" i="7"/>
  <c r="D7" i="7"/>
  <c r="D8" i="7"/>
  <c r="D9" i="7"/>
  <c r="D10" i="7"/>
  <c r="D11" i="7"/>
  <c r="D12" i="7"/>
  <c r="D13" i="7"/>
  <c r="D14" i="7"/>
  <c r="D15" i="7"/>
  <c r="D16" i="7"/>
  <c r="D17" i="7"/>
  <c r="D4" i="7"/>
  <c r="D5" i="6"/>
  <c r="D6" i="6"/>
  <c r="D7" i="6"/>
  <c r="D4" i="6"/>
  <c r="D5" i="4"/>
  <c r="D6" i="4"/>
  <c r="D7" i="4"/>
  <c r="D8" i="4"/>
  <c r="D4" i="4"/>
</calcChain>
</file>

<file path=xl/sharedStrings.xml><?xml version="1.0" encoding="utf-8"?>
<sst xmlns="http://schemas.openxmlformats.org/spreadsheetml/2006/main" count="8627" uniqueCount="1034">
  <si>
    <t>Order ID</t>
  </si>
  <si>
    <t>Order Date</t>
  </si>
  <si>
    <t>Customer ID</t>
  </si>
  <si>
    <t>Customer Name</t>
  </si>
  <si>
    <t>City</t>
  </si>
  <si>
    <t>State</t>
  </si>
  <si>
    <t>Region</t>
  </si>
  <si>
    <t>Product Name</t>
  </si>
  <si>
    <t>Category</t>
  </si>
  <si>
    <t>Sales</t>
  </si>
  <si>
    <t>Quantity</t>
  </si>
  <si>
    <t>Profit</t>
  </si>
  <si>
    <t>Payment Method</t>
  </si>
  <si>
    <t>Order Status</t>
  </si>
  <si>
    <t>IND-2023-1001</t>
  </si>
  <si>
    <t>CUS-1023</t>
  </si>
  <si>
    <t>Gaurav Bansal</t>
  </si>
  <si>
    <t>Bengaluru</t>
  </si>
  <si>
    <t>Karnataka</t>
  </si>
  <si>
    <t>South</t>
  </si>
  <si>
    <t>Mi 10000mAh Power Bank 3i</t>
  </si>
  <si>
    <t>Mobiles &amp; Accessories</t>
  </si>
  <si>
    <t>UPI</t>
  </si>
  <si>
    <t>Cancelled</t>
  </si>
  <si>
    <t>IND-2023-1002</t>
  </si>
  <si>
    <t>CUS-1007</t>
  </si>
  <si>
    <t>Vikram Malhotra</t>
  </si>
  <si>
    <t>Patna</t>
  </si>
  <si>
    <t>Bihar</t>
  </si>
  <si>
    <t>East</t>
  </si>
  <si>
    <t>SanDisk 128GB Ultra Dual Drive</t>
  </si>
  <si>
    <t>Electronics</t>
  </si>
  <si>
    <t>Delivered</t>
  </si>
  <si>
    <t>IND-2023-1003</t>
  </si>
  <si>
    <t>CUS-1018</t>
  </si>
  <si>
    <t>Divya Pillai</t>
  </si>
  <si>
    <t>Chennai</t>
  </si>
  <si>
    <t>Tamil Nadu</t>
  </si>
  <si>
    <t>Mamaearth Onion Hair Fall Control Oil 250ml</t>
  </si>
  <si>
    <t>Beauty &amp; Personal Care</t>
  </si>
  <si>
    <t>Cash on Delivery</t>
  </si>
  <si>
    <t>Processing</t>
  </si>
  <si>
    <t>IND-2023-1004</t>
  </si>
  <si>
    <t>CUS-1021</t>
  </si>
  <si>
    <t>Arjun Reddy</t>
  </si>
  <si>
    <t>boAt Airdopes 141 Bluetooth Earbuds</t>
  </si>
  <si>
    <t>IND-2023-1005</t>
  </si>
  <si>
    <t>CUS-1008</t>
  </si>
  <si>
    <t>Pooja Nair</t>
  </si>
  <si>
    <t>Delhi</t>
  </si>
  <si>
    <t>North</t>
  </si>
  <si>
    <t>JBL Flip 6 Portable Bluetooth Speaker</t>
  </si>
  <si>
    <t>Net Banking</t>
  </si>
  <si>
    <t>IND-2023-1006</t>
  </si>
  <si>
    <t>CUS-1004</t>
  </si>
  <si>
    <t>Ananya Iyer</t>
  </si>
  <si>
    <t>Chandigarh</t>
  </si>
  <si>
    <t>Punjab</t>
  </si>
  <si>
    <t>Milton Thermosteel Bottle 1000ml</t>
  </si>
  <si>
    <t>Home &amp; Kitchen</t>
  </si>
  <si>
    <t>IND-2023-1007</t>
  </si>
  <si>
    <t>CUS-1012</t>
  </si>
  <si>
    <t>Kavita Rao</t>
  </si>
  <si>
    <t>Credit Card</t>
  </si>
  <si>
    <t>IND-2023-1008</t>
  </si>
  <si>
    <t>CUS-1016</t>
  </si>
  <si>
    <t>Ritu Mehta</t>
  </si>
  <si>
    <t>Mumbai</t>
  </si>
  <si>
    <t>Maharashtra</t>
  </si>
  <si>
    <t>West</t>
  </si>
  <si>
    <t>Biotique Botanical Glow Skincare Combo</t>
  </si>
  <si>
    <t>IND-2023-1009</t>
  </si>
  <si>
    <t>CUS-1006</t>
  </si>
  <si>
    <t>Sneha Mukherjee</t>
  </si>
  <si>
    <t>Sony Bravia 43-inch 4K LED TV</t>
  </si>
  <si>
    <t>Returned</t>
  </si>
  <si>
    <t>IND-2023-1010</t>
  </si>
  <si>
    <t>CUS-1011</t>
  </si>
  <si>
    <t>Aditya Joshi</t>
  </si>
  <si>
    <t>Canon EOS 1500D DSLR Camera</t>
  </si>
  <si>
    <t>IND-2023-1011</t>
  </si>
  <si>
    <t>CUS-1024</t>
  </si>
  <si>
    <t>Meera Nambiar</t>
  </si>
  <si>
    <t>IND-2023-1012</t>
  </si>
  <si>
    <t>Ahmedabad</t>
  </si>
  <si>
    <t>Gujarat</t>
  </si>
  <si>
    <t>IND-2023-1013</t>
  </si>
  <si>
    <t>Bhubaneswar</t>
  </si>
  <si>
    <t>Odisha</t>
  </si>
  <si>
    <t>Noise ColorFit Pulse Smartwatch</t>
  </si>
  <si>
    <t>Debit Card</t>
  </si>
  <si>
    <t>IND-2023-1014</t>
  </si>
  <si>
    <t>Levi's Men Slim Fit Denim Jeans</t>
  </si>
  <si>
    <t>Fashion</t>
  </si>
  <si>
    <t>IND-2023-1015</t>
  </si>
  <si>
    <t>Hyderabad</t>
  </si>
  <si>
    <t>Telangana</t>
  </si>
  <si>
    <t>IND-2023-1016</t>
  </si>
  <si>
    <t>Pune</t>
  </si>
  <si>
    <t>Spigen Armor Back Cover</t>
  </si>
  <si>
    <t>IND-2023-1017</t>
  </si>
  <si>
    <t>CUS-1005</t>
  </si>
  <si>
    <t>Rohan Gupta</t>
  </si>
  <si>
    <t>Kochi</t>
  </si>
  <si>
    <t>Kerala</t>
  </si>
  <si>
    <t>Wakefit Ergonomic Orthopedic Mattress</t>
  </si>
  <si>
    <t>IND-2023-1018</t>
  </si>
  <si>
    <t>IND-2023-1019</t>
  </si>
  <si>
    <t>IND-2023-1020</t>
  </si>
  <si>
    <t>HP Pavilion 15 Core i5 Laptop</t>
  </si>
  <si>
    <t>IND-2023-1021</t>
  </si>
  <si>
    <t>Solimo Water Repellent Polyester Curtains (Set of 2)</t>
  </si>
  <si>
    <t>IND-2023-1022</t>
  </si>
  <si>
    <t>CUS-1019</t>
  </si>
  <si>
    <t>Manish Agarwal</t>
  </si>
  <si>
    <t>Peter England Formal Trousers</t>
  </si>
  <si>
    <t>IND-2023-1023</t>
  </si>
  <si>
    <t>Puma Unisex Smashic Sneakers</t>
  </si>
  <si>
    <t>IND-2023-1024</t>
  </si>
  <si>
    <t>CUS-1013</t>
  </si>
  <si>
    <t>Amit Mishra</t>
  </si>
  <si>
    <t>IND-2023-1025</t>
  </si>
  <si>
    <t>CUS-1020</t>
  </si>
  <si>
    <t>Shweta Tiwari</t>
  </si>
  <si>
    <t>Lucknow</t>
  </si>
  <si>
    <t>Uttar Pradesh</t>
  </si>
  <si>
    <t>OnePlus 11R 5G (128GB)</t>
  </si>
  <si>
    <t>IND-2023-1026</t>
  </si>
  <si>
    <t>Logitech Wireless Keyboard &amp; Mouse</t>
  </si>
  <si>
    <t>IND-2023-1027</t>
  </si>
  <si>
    <t>Shipped</t>
  </si>
  <si>
    <t>IND-2023-1028</t>
  </si>
  <si>
    <t>CUS-1010</t>
  </si>
  <si>
    <t>Neha Singh</t>
  </si>
  <si>
    <t>IND-2023-1029</t>
  </si>
  <si>
    <t>Indore</t>
  </si>
  <si>
    <t>Madhya Pradesh</t>
  </si>
  <si>
    <t>Lavie Women Handbag</t>
  </si>
  <si>
    <t>IND-2023-1030</t>
  </si>
  <si>
    <t>IND-2023-1031</t>
  </si>
  <si>
    <t>IND-2023-1032</t>
  </si>
  <si>
    <t>Jaipur</t>
  </si>
  <si>
    <t>Rajasthan</t>
  </si>
  <si>
    <t>Prestige Iris 750W Mixer Grinder</t>
  </si>
  <si>
    <t>IND-2023-1033</t>
  </si>
  <si>
    <t>CUS-1001</t>
  </si>
  <si>
    <t>Aarav Sharma</t>
  </si>
  <si>
    <t>Biba Women Printed Anarkali Kurta</t>
  </si>
  <si>
    <t>IND-2023-1034</t>
  </si>
  <si>
    <t>CUS-1014</t>
  </si>
  <si>
    <t>Sunita Das</t>
  </si>
  <si>
    <t>IND-2023-1035</t>
  </si>
  <si>
    <t>IND-2023-1036</t>
  </si>
  <si>
    <t>IND-2023-1037</t>
  </si>
  <si>
    <t>Fastrack Analog Watch for Men</t>
  </si>
  <si>
    <t>IND-2023-1038</t>
  </si>
  <si>
    <t>IND-2023-1039</t>
  </si>
  <si>
    <t>Kolkata</t>
  </si>
  <si>
    <t>West Bengal</t>
  </si>
  <si>
    <t>IND-2023-1040</t>
  </si>
  <si>
    <t>CUS-1017</t>
  </si>
  <si>
    <t>Deepak Chopra</t>
  </si>
  <si>
    <t>IND-2023-1041</t>
  </si>
  <si>
    <t>IND-2023-1042</t>
  </si>
  <si>
    <t>Philips Electric Beard Trimmer Series 3000</t>
  </si>
  <si>
    <t>IND-2023-1043</t>
  </si>
  <si>
    <t>IND-2023-1044</t>
  </si>
  <si>
    <t>IND-2023-1045</t>
  </si>
  <si>
    <t>IND-2023-1046</t>
  </si>
  <si>
    <t>IND-2023-1047</t>
  </si>
  <si>
    <t>CUS-1002</t>
  </si>
  <si>
    <t>Priya Patel</t>
  </si>
  <si>
    <t>IND-2023-1048</t>
  </si>
  <si>
    <t>Pigeon 4-Burner Glass Top Gas Stove</t>
  </si>
  <si>
    <t>IND-2023-1049</t>
  </si>
  <si>
    <t>CUS-1003</t>
  </si>
  <si>
    <t>Rahul Verma</t>
  </si>
  <si>
    <t>Allen Solly Casual Cotton Shirt</t>
  </si>
  <si>
    <t>IND-2023-1050</t>
  </si>
  <si>
    <t>IND-2023-1051</t>
  </si>
  <si>
    <t>IND-2023-1052</t>
  </si>
  <si>
    <t>IND-2023-1053</t>
  </si>
  <si>
    <t>IND-2023-1054</t>
  </si>
  <si>
    <t>IND-2023-1055</t>
  </si>
  <si>
    <t>Lakme Absolute Matte Melt Liquid Lip Color</t>
  </si>
  <si>
    <t>IND-2023-1056</t>
  </si>
  <si>
    <t>IND-2023-1057</t>
  </si>
  <si>
    <t>IND-2023-1058</t>
  </si>
  <si>
    <t>IND-2023-1059</t>
  </si>
  <si>
    <t>Hawkins Futura Hard Anodised Kadai</t>
  </si>
  <si>
    <t>IND-2023-1060</t>
  </si>
  <si>
    <t>IND-2023-1061</t>
  </si>
  <si>
    <t>IND-2023-1062</t>
  </si>
  <si>
    <t>IND-2023-1063</t>
  </si>
  <si>
    <t>IND-2023-1064</t>
  </si>
  <si>
    <t>IND-2023-1065</t>
  </si>
  <si>
    <t>IND-2023-1066</t>
  </si>
  <si>
    <t>IND-2023-1067</t>
  </si>
  <si>
    <t>IND-2023-1068</t>
  </si>
  <si>
    <t>IND-2023-1069</t>
  </si>
  <si>
    <t>IND-2023-1070</t>
  </si>
  <si>
    <t>IND-2023-1071</t>
  </si>
  <si>
    <t>CUS-1022</t>
  </si>
  <si>
    <t>Tanvi Deshmukh</t>
  </si>
  <si>
    <t>IND-2023-1072</t>
  </si>
  <si>
    <t>IND-2023-1073</t>
  </si>
  <si>
    <t>Samsung Galaxy S23 5G</t>
  </si>
  <si>
    <t>IND-2023-1074</t>
  </si>
  <si>
    <t>IND-2023-1075</t>
  </si>
  <si>
    <t>IND-2023-1076</t>
  </si>
  <si>
    <t>IND-2023-1077</t>
  </si>
  <si>
    <t>IND-2023-1078</t>
  </si>
  <si>
    <t>IND-2023-1079</t>
  </si>
  <si>
    <t>IND-2023-1080</t>
  </si>
  <si>
    <t>IND-2023-1081</t>
  </si>
  <si>
    <t>Philips Air Fryer HD9200</t>
  </si>
  <si>
    <t>IND-2023-1082</t>
  </si>
  <si>
    <t>IND-2023-1083</t>
  </si>
  <si>
    <t>IND-2023-1084</t>
  </si>
  <si>
    <t>IND-2023-1085</t>
  </si>
  <si>
    <t>CUS-1009</t>
  </si>
  <si>
    <t>Rajesh Kumar</t>
  </si>
  <si>
    <t>IND-2023-1086</t>
  </si>
  <si>
    <t>IND-2023-1087</t>
  </si>
  <si>
    <t>IND-2023-1088</t>
  </si>
  <si>
    <t>IND-2023-1089</t>
  </si>
  <si>
    <t>IND-2023-1090</t>
  </si>
  <si>
    <t>CUS-1015</t>
  </si>
  <si>
    <t>Karan Kapoor</t>
  </si>
  <si>
    <t>IND-2023-1091</t>
  </si>
  <si>
    <t>The Derma Co 10% Vitamin C Face Serum</t>
  </si>
  <si>
    <t>IND-2023-1092</t>
  </si>
  <si>
    <t>IND-2023-1093</t>
  </si>
  <si>
    <t>IND-2023-1094</t>
  </si>
  <si>
    <t>IND-2023-1095</t>
  </si>
  <si>
    <t>IND-2023-1096</t>
  </si>
  <si>
    <t>IND-2023-1097</t>
  </si>
  <si>
    <t>IND-2023-1098</t>
  </si>
  <si>
    <t>IND-2023-1099</t>
  </si>
  <si>
    <t>IND-2023-1100</t>
  </si>
  <si>
    <t>IND-2023-1101</t>
  </si>
  <si>
    <t>IND-2023-1102</t>
  </si>
  <si>
    <t>IND-2023-1103</t>
  </si>
  <si>
    <t>IND-2023-1104</t>
  </si>
  <si>
    <t>IND-2023-1105</t>
  </si>
  <si>
    <t>IND-2023-1106</t>
  </si>
  <si>
    <t>IND-2023-1107</t>
  </si>
  <si>
    <t>IND-2023-1108</t>
  </si>
  <si>
    <t>IND-2023-1109</t>
  </si>
  <si>
    <t>IND-2023-1110</t>
  </si>
  <si>
    <t>IND-2023-1111</t>
  </si>
  <si>
    <t>IND-2023-1112</t>
  </si>
  <si>
    <t>IND-2023-1113</t>
  </si>
  <si>
    <t>IND-2023-1114</t>
  </si>
  <si>
    <t>IND-2023-1115</t>
  </si>
  <si>
    <t>IND-2023-1116</t>
  </si>
  <si>
    <t>IND-2023-1117</t>
  </si>
  <si>
    <t>IND-2023-1118</t>
  </si>
  <si>
    <t>IND-2023-1119</t>
  </si>
  <si>
    <t>IND-2023-1120</t>
  </si>
  <si>
    <t>IND-2023-1121</t>
  </si>
  <si>
    <t>Redmi Note 12 Pro 5G</t>
  </si>
  <si>
    <t>IND-2023-1122</t>
  </si>
  <si>
    <t>IND-2023-1123</t>
  </si>
  <si>
    <t>IND-2023-1124</t>
  </si>
  <si>
    <t>IND-2023-1125</t>
  </si>
  <si>
    <t>IND-2023-1126</t>
  </si>
  <si>
    <t>IND-2023-1127</t>
  </si>
  <si>
    <t>IND-2023-1128</t>
  </si>
  <si>
    <t>IND-2023-1129</t>
  </si>
  <si>
    <t>IND-2023-1130</t>
  </si>
  <si>
    <t>IND-2023-1131</t>
  </si>
  <si>
    <t>IND-2023-1132</t>
  </si>
  <si>
    <t>IND-2023-1133</t>
  </si>
  <si>
    <t>IND-2023-1134</t>
  </si>
  <si>
    <t>CUS-1025</t>
  </si>
  <si>
    <t>Siddharth Sen</t>
  </si>
  <si>
    <t>IND-2023-1135</t>
  </si>
  <si>
    <t>IND-2023-1136</t>
  </si>
  <si>
    <t>IND-2023-1137</t>
  </si>
  <si>
    <t>IND-2023-1138</t>
  </si>
  <si>
    <t>IND-2023-1139</t>
  </si>
  <si>
    <t>IND-2023-1140</t>
  </si>
  <si>
    <t>IND-2023-1141</t>
  </si>
  <si>
    <t>IND-2023-1142</t>
  </si>
  <si>
    <t>IND-2023-1143</t>
  </si>
  <si>
    <t>IND-2023-1144</t>
  </si>
  <si>
    <t>IND-2023-1145</t>
  </si>
  <si>
    <t>IND-2023-1146</t>
  </si>
  <si>
    <t>IND-2023-1147</t>
  </si>
  <si>
    <t>IND-2023-1148</t>
  </si>
  <si>
    <t>IND-2023-1149</t>
  </si>
  <si>
    <t>IND-2023-1150</t>
  </si>
  <si>
    <t>IND-2023-1151</t>
  </si>
  <si>
    <t>IND-2023-1152</t>
  </si>
  <si>
    <t>IND-2023-1153</t>
  </si>
  <si>
    <t>IND-2023-1154</t>
  </si>
  <si>
    <t>IND-2023-1155</t>
  </si>
  <si>
    <t>IND-2023-1156</t>
  </si>
  <si>
    <t>IND-2023-1157</t>
  </si>
  <si>
    <t>IND-2023-1158</t>
  </si>
  <si>
    <t>IND-2023-1159</t>
  </si>
  <si>
    <t>IND-2023-1160</t>
  </si>
  <si>
    <t>IND-2023-1161</t>
  </si>
  <si>
    <t>IND-2023-1162</t>
  </si>
  <si>
    <t>IND-2023-1163</t>
  </si>
  <si>
    <t>IND-2023-1164</t>
  </si>
  <si>
    <t>IND-2023-1165</t>
  </si>
  <si>
    <t>IND-2023-1166</t>
  </si>
  <si>
    <t>IND-2023-1167</t>
  </si>
  <si>
    <t>IND-2023-1168</t>
  </si>
  <si>
    <t>IND-2023-1169</t>
  </si>
  <si>
    <t>IND-2023-1170</t>
  </si>
  <si>
    <t>IND-2023-1171</t>
  </si>
  <si>
    <t>IND-2023-1172</t>
  </si>
  <si>
    <t>IND-2023-1173</t>
  </si>
  <si>
    <t>IND-2023-1174</t>
  </si>
  <si>
    <t>IND-2023-1175</t>
  </si>
  <si>
    <t>IND-2023-1176</t>
  </si>
  <si>
    <t>IND-2023-1177</t>
  </si>
  <si>
    <t>IND-2023-1178</t>
  </si>
  <si>
    <t>IND-2023-1179</t>
  </si>
  <si>
    <t>IND-2023-1180</t>
  </si>
  <si>
    <t>IND-2023-1181</t>
  </si>
  <si>
    <t>IND-2023-1182</t>
  </si>
  <si>
    <t>IND-2023-1183</t>
  </si>
  <si>
    <t>IND-2023-1184</t>
  </si>
  <si>
    <t>IND-2023-1185</t>
  </si>
  <si>
    <t>IND-2023-1186</t>
  </si>
  <si>
    <t>IND-2023-1187</t>
  </si>
  <si>
    <t>IND-2023-1188</t>
  </si>
  <si>
    <t>IND-2023-1189</t>
  </si>
  <si>
    <t>IND-2023-1190</t>
  </si>
  <si>
    <t>IND-2023-1191</t>
  </si>
  <si>
    <t>IND-2023-1192</t>
  </si>
  <si>
    <t>IND-2023-1193</t>
  </si>
  <si>
    <t>IND-2023-1194</t>
  </si>
  <si>
    <t>IND-2023-1195</t>
  </si>
  <si>
    <t>IND-2023-1196</t>
  </si>
  <si>
    <t>IND-2023-1197</t>
  </si>
  <si>
    <t>IND-2023-1198</t>
  </si>
  <si>
    <t>IND-2023-1199</t>
  </si>
  <si>
    <t>IND-2023-1200</t>
  </si>
  <si>
    <t>IND-2023-1201</t>
  </si>
  <si>
    <t>IND-2023-1202</t>
  </si>
  <si>
    <t>IND-2023-1203</t>
  </si>
  <si>
    <t>IND-2023-1204</t>
  </si>
  <si>
    <t>IND-2023-1205</t>
  </si>
  <si>
    <t>IND-2023-1206</t>
  </si>
  <si>
    <t>IND-2023-1207</t>
  </si>
  <si>
    <t>IND-2023-1208</t>
  </si>
  <si>
    <t>IND-2023-1209</t>
  </si>
  <si>
    <t>IND-2023-1210</t>
  </si>
  <si>
    <t>IND-2023-1211</t>
  </si>
  <si>
    <t>IND-2023-1212</t>
  </si>
  <si>
    <t>IND-2023-1213</t>
  </si>
  <si>
    <t>IND-2023-1214</t>
  </si>
  <si>
    <t>IND-2023-1215</t>
  </si>
  <si>
    <t>IND-2023-1216</t>
  </si>
  <si>
    <t>IND-2023-1217</t>
  </si>
  <si>
    <t>IND-2023-1218</t>
  </si>
  <si>
    <t>IND-2023-1219</t>
  </si>
  <si>
    <t>IND-2023-1220</t>
  </si>
  <si>
    <t>IND-2023-1221</t>
  </si>
  <si>
    <t>IND-2023-1222</t>
  </si>
  <si>
    <t>IND-2023-1223</t>
  </si>
  <si>
    <t>IND-2023-1224</t>
  </si>
  <si>
    <t>IND-2023-1225</t>
  </si>
  <si>
    <t>IND-2023-1226</t>
  </si>
  <si>
    <t>IND-2023-1227</t>
  </si>
  <si>
    <t>IND-2023-1228</t>
  </si>
  <si>
    <t>IND-2023-1229</t>
  </si>
  <si>
    <t>IND-2023-1230</t>
  </si>
  <si>
    <t>IND-2023-1231</t>
  </si>
  <si>
    <t>IND-2023-1232</t>
  </si>
  <si>
    <t>IND-2023-1233</t>
  </si>
  <si>
    <t>IND-2023-1234</t>
  </si>
  <si>
    <t>IND-2023-1235</t>
  </si>
  <si>
    <t>IND-2023-1236</t>
  </si>
  <si>
    <t>IND-2023-1237</t>
  </si>
  <si>
    <t>IND-2023-1238</t>
  </si>
  <si>
    <t>IND-2023-1239</t>
  </si>
  <si>
    <t>IND-2023-1240</t>
  </si>
  <si>
    <t>IND-2023-1241</t>
  </si>
  <si>
    <t>IND-2023-1242</t>
  </si>
  <si>
    <t>IND-2023-1243</t>
  </si>
  <si>
    <t>IND-2023-1244</t>
  </si>
  <si>
    <t>IND-2023-1245</t>
  </si>
  <si>
    <t>IND-2023-1246</t>
  </si>
  <si>
    <t>IND-2023-1247</t>
  </si>
  <si>
    <t>IND-2023-1248</t>
  </si>
  <si>
    <t>IND-2023-1249</t>
  </si>
  <si>
    <t>IND-2023-1250</t>
  </si>
  <si>
    <t>IND-2023-1251</t>
  </si>
  <si>
    <t>IND-2023-1252</t>
  </si>
  <si>
    <t>IND-2023-1253</t>
  </si>
  <si>
    <t>IND-2023-1254</t>
  </si>
  <si>
    <t>IND-2023-1255</t>
  </si>
  <si>
    <t>IND-2023-1256</t>
  </si>
  <si>
    <t>IND-2023-1257</t>
  </si>
  <si>
    <t>IND-2023-1258</t>
  </si>
  <si>
    <t>IND-2023-1259</t>
  </si>
  <si>
    <t>IND-2023-1260</t>
  </si>
  <si>
    <t>IND-2023-1261</t>
  </si>
  <si>
    <t>IND-2023-1262</t>
  </si>
  <si>
    <t>IND-2023-1263</t>
  </si>
  <si>
    <t>IND-2023-1264</t>
  </si>
  <si>
    <t>IND-2023-1265</t>
  </si>
  <si>
    <t>IND-2023-1266</t>
  </si>
  <si>
    <t>IND-2023-1267</t>
  </si>
  <si>
    <t>IND-2023-1268</t>
  </si>
  <si>
    <t>IND-2023-1269</t>
  </si>
  <si>
    <t>IND-2023-1270</t>
  </si>
  <si>
    <t>IND-2023-1271</t>
  </si>
  <si>
    <t>IND-2023-1272</t>
  </si>
  <si>
    <t>IND-2023-1273</t>
  </si>
  <si>
    <t>IND-2023-1274</t>
  </si>
  <si>
    <t>IND-2023-1275</t>
  </si>
  <si>
    <t>IND-2023-1276</t>
  </si>
  <si>
    <t>IND-2023-1277</t>
  </si>
  <si>
    <t>IND-2023-1278</t>
  </si>
  <si>
    <t>IND-2023-1279</t>
  </si>
  <si>
    <t>IND-2023-1280</t>
  </si>
  <si>
    <t>IND-2023-1281</t>
  </si>
  <si>
    <t>IND-2023-1282</t>
  </si>
  <si>
    <t>IND-2023-1283</t>
  </si>
  <si>
    <t>IND-2023-1284</t>
  </si>
  <si>
    <t>IND-2023-1285</t>
  </si>
  <si>
    <t>IND-2023-1286</t>
  </si>
  <si>
    <t>IND-2023-1287</t>
  </si>
  <si>
    <t>IND-2023-1288</t>
  </si>
  <si>
    <t>IND-2023-1289</t>
  </si>
  <si>
    <t>IND-2023-1290</t>
  </si>
  <si>
    <t>IND-2023-1291</t>
  </si>
  <si>
    <t>IND-2023-1292</t>
  </si>
  <si>
    <t>IND-2023-1293</t>
  </si>
  <si>
    <t>IND-2023-1294</t>
  </si>
  <si>
    <t>IND-2023-1295</t>
  </si>
  <si>
    <t>IND-2023-1296</t>
  </si>
  <si>
    <t>IND-2023-1297</t>
  </si>
  <si>
    <t>IND-2023-1298</t>
  </si>
  <si>
    <t>IND-2023-1299</t>
  </si>
  <si>
    <t>IND-2023-1300</t>
  </si>
  <si>
    <t>IND-2023-1301</t>
  </si>
  <si>
    <t>IND-2023-1302</t>
  </si>
  <si>
    <t>IND-2023-1303</t>
  </si>
  <si>
    <t>IND-2023-1304</t>
  </si>
  <si>
    <t>IND-2023-1305</t>
  </si>
  <si>
    <t>IND-2023-1306</t>
  </si>
  <si>
    <t>IND-2023-1307</t>
  </si>
  <si>
    <t>IND-2023-1308</t>
  </si>
  <si>
    <t>IND-2023-1309</t>
  </si>
  <si>
    <t>IND-2023-1310</t>
  </si>
  <si>
    <t>IND-2023-1311</t>
  </si>
  <si>
    <t>IND-2023-1312</t>
  </si>
  <si>
    <t>IND-2023-1313</t>
  </si>
  <si>
    <t>IND-2023-1314</t>
  </si>
  <si>
    <t>IND-2023-1315</t>
  </si>
  <si>
    <t>IND-2023-1316</t>
  </si>
  <si>
    <t>IND-2023-1317</t>
  </si>
  <si>
    <t>IND-2023-1318</t>
  </si>
  <si>
    <t>IND-2023-1319</t>
  </si>
  <si>
    <t>IND-2023-1320</t>
  </si>
  <si>
    <t>IND-2023-1321</t>
  </si>
  <si>
    <t>IND-2023-1322</t>
  </si>
  <si>
    <t>IND-2023-1323</t>
  </si>
  <si>
    <t>IND-2023-1324</t>
  </si>
  <si>
    <t>IND-2023-1325</t>
  </si>
  <si>
    <t>IND-2023-1326</t>
  </si>
  <si>
    <t>IND-2023-1327</t>
  </si>
  <si>
    <t>IND-2023-1328</t>
  </si>
  <si>
    <t>IND-2023-1329</t>
  </si>
  <si>
    <t>IND-2023-1330</t>
  </si>
  <si>
    <t>IND-2023-1331</t>
  </si>
  <si>
    <t>IND-2023-1332</t>
  </si>
  <si>
    <t>IND-2023-1333</t>
  </si>
  <si>
    <t>IND-2023-1334</t>
  </si>
  <si>
    <t>IND-2023-1335</t>
  </si>
  <si>
    <t>IND-2023-1336</t>
  </si>
  <si>
    <t>IND-2023-1337</t>
  </si>
  <si>
    <t>IND-2023-1338</t>
  </si>
  <si>
    <t>IND-2023-1339</t>
  </si>
  <si>
    <t>IND-2023-1340</t>
  </si>
  <si>
    <t>IND-2023-1341</t>
  </si>
  <si>
    <t>IND-2023-1342</t>
  </si>
  <si>
    <t>IND-2023-1343</t>
  </si>
  <si>
    <t>IND-2023-1344</t>
  </si>
  <si>
    <t>IND-2023-1345</t>
  </si>
  <si>
    <t>IND-2023-1346</t>
  </si>
  <si>
    <t>IND-2023-1347</t>
  </si>
  <si>
    <t>IND-2023-1348</t>
  </si>
  <si>
    <t>IND-2023-1349</t>
  </si>
  <si>
    <t>IND-2023-1350</t>
  </si>
  <si>
    <t>IND-2023-1351</t>
  </si>
  <si>
    <t>IND-2023-1352</t>
  </si>
  <si>
    <t>IND-2023-1353</t>
  </si>
  <si>
    <t>IND-2023-1354</t>
  </si>
  <si>
    <t>IND-2023-1355</t>
  </si>
  <si>
    <t>IND-2023-1356</t>
  </si>
  <si>
    <t>IND-2023-1357</t>
  </si>
  <si>
    <t>IND-2023-1358</t>
  </si>
  <si>
    <t>IND-2023-1359</t>
  </si>
  <si>
    <t>IND-2023-1360</t>
  </si>
  <si>
    <t>IND-2023-1361</t>
  </si>
  <si>
    <t>IND-2023-1362</t>
  </si>
  <si>
    <t>IND-2023-1363</t>
  </si>
  <si>
    <t>IND-2023-1364</t>
  </si>
  <si>
    <t>IND-2023-1365</t>
  </si>
  <si>
    <t>IND-2023-1366</t>
  </si>
  <si>
    <t>IND-2023-1367</t>
  </si>
  <si>
    <t>IND-2023-1368</t>
  </si>
  <si>
    <t>IND-2023-1369</t>
  </si>
  <si>
    <t>IND-2023-1370</t>
  </si>
  <si>
    <t>IND-2023-1371</t>
  </si>
  <si>
    <t>IND-2023-1372</t>
  </si>
  <si>
    <t>IND-2023-1373</t>
  </si>
  <si>
    <t>IND-2023-1374</t>
  </si>
  <si>
    <t>IND-2023-1375</t>
  </si>
  <si>
    <t>IND-2023-1376</t>
  </si>
  <si>
    <t>IND-2023-1377</t>
  </si>
  <si>
    <t>IND-2023-1378</t>
  </si>
  <si>
    <t>IND-2023-1379</t>
  </si>
  <si>
    <t>IND-2023-1380</t>
  </si>
  <si>
    <t>IND-2023-1381</t>
  </si>
  <si>
    <t>IND-2023-1382</t>
  </si>
  <si>
    <t>IND-2023-1383</t>
  </si>
  <si>
    <t>IND-2023-1384</t>
  </si>
  <si>
    <t>IND-2023-1385</t>
  </si>
  <si>
    <t>IND-2023-1386</t>
  </si>
  <si>
    <t>IND-2023-1387</t>
  </si>
  <si>
    <t>IND-2023-1388</t>
  </si>
  <si>
    <t>IND-2023-1389</t>
  </si>
  <si>
    <t>IND-2023-1390</t>
  </si>
  <si>
    <t>IND-2023-1391</t>
  </si>
  <si>
    <t>IND-2023-1392</t>
  </si>
  <si>
    <t>IND-2023-1393</t>
  </si>
  <si>
    <t>IND-2023-1394</t>
  </si>
  <si>
    <t>IND-2023-1395</t>
  </si>
  <si>
    <t>IND-2023-1396</t>
  </si>
  <si>
    <t>IND-2023-1397</t>
  </si>
  <si>
    <t>IND-2023-1398</t>
  </si>
  <si>
    <t>IND-2023-1399</t>
  </si>
  <si>
    <t>IND-2023-1400</t>
  </si>
  <si>
    <t>IND-2023-1401</t>
  </si>
  <si>
    <t>IND-2023-1402</t>
  </si>
  <si>
    <t>IND-2023-1403</t>
  </si>
  <si>
    <t>IND-2023-1404</t>
  </si>
  <si>
    <t>IND-2023-1405</t>
  </si>
  <si>
    <t>IND-2023-1406</t>
  </si>
  <si>
    <t>IND-2023-1407</t>
  </si>
  <si>
    <t>IND-2023-1408</t>
  </si>
  <si>
    <t>IND-2023-1409</t>
  </si>
  <si>
    <t>IND-2023-1410</t>
  </si>
  <si>
    <t>IND-2023-1411</t>
  </si>
  <si>
    <t>IND-2023-1412</t>
  </si>
  <si>
    <t>IND-2023-1413</t>
  </si>
  <si>
    <t>IND-2023-1414</t>
  </si>
  <si>
    <t>IND-2023-1415</t>
  </si>
  <si>
    <t>IND-2023-1416</t>
  </si>
  <si>
    <t>IND-2023-1417</t>
  </si>
  <si>
    <t>IND-2023-1418</t>
  </si>
  <si>
    <t>IND-2023-1419</t>
  </si>
  <si>
    <t>IND-2023-1420</t>
  </si>
  <si>
    <t>IND-2023-1421</t>
  </si>
  <si>
    <t>IND-2023-1422</t>
  </si>
  <si>
    <t>IND-2023-1423</t>
  </si>
  <si>
    <t>IND-2023-1424</t>
  </si>
  <si>
    <t>IND-2023-1425</t>
  </si>
  <si>
    <t>IND-2023-1426</t>
  </si>
  <si>
    <t>IND-2023-1427</t>
  </si>
  <si>
    <t>IND-2023-1428</t>
  </si>
  <si>
    <t>IND-2023-1429</t>
  </si>
  <si>
    <t>IND-2023-1430</t>
  </si>
  <si>
    <t>IND-2023-1431</t>
  </si>
  <si>
    <t>IND-2023-1432</t>
  </si>
  <si>
    <t>IND-2023-1433</t>
  </si>
  <si>
    <t>IND-2023-1434</t>
  </si>
  <si>
    <t>IND-2023-1435</t>
  </si>
  <si>
    <t>IND-2023-1436</t>
  </si>
  <si>
    <t>IND-2023-1437</t>
  </si>
  <si>
    <t>IND-2023-1438</t>
  </si>
  <si>
    <t>IND-2023-1439</t>
  </si>
  <si>
    <t>IND-2023-1440</t>
  </si>
  <si>
    <t>IND-2023-1441</t>
  </si>
  <si>
    <t>IND-2023-1442</t>
  </si>
  <si>
    <t>IND-2023-1443</t>
  </si>
  <si>
    <t>IND-2023-1444</t>
  </si>
  <si>
    <t>IND-2023-1445</t>
  </si>
  <si>
    <t>IND-2023-1446</t>
  </si>
  <si>
    <t>IND-2023-1447</t>
  </si>
  <si>
    <t>IND-2023-1448</t>
  </si>
  <si>
    <t>IND-2023-1449</t>
  </si>
  <si>
    <t>IND-2023-1450</t>
  </si>
  <si>
    <t>IND-2023-1451</t>
  </si>
  <si>
    <t>IND-2023-1452</t>
  </si>
  <si>
    <t>IND-2023-1453</t>
  </si>
  <si>
    <t>IND-2023-1454</t>
  </si>
  <si>
    <t>IND-2023-1455</t>
  </si>
  <si>
    <t>IND-2023-1456</t>
  </si>
  <si>
    <t>IND-2023-1457</t>
  </si>
  <si>
    <t>IND-2023-1458</t>
  </si>
  <si>
    <t>IND-2023-1459</t>
  </si>
  <si>
    <t>IND-2023-1460</t>
  </si>
  <si>
    <t>IND-2023-1461</t>
  </si>
  <si>
    <t>IND-2023-1462</t>
  </si>
  <si>
    <t>IND-2023-1463</t>
  </si>
  <si>
    <t>IND-2023-1464</t>
  </si>
  <si>
    <t>IND-2023-1465</t>
  </si>
  <si>
    <t>IND-2023-1466</t>
  </si>
  <si>
    <t>IND-2023-1467</t>
  </si>
  <si>
    <t>IND-2023-1468</t>
  </si>
  <si>
    <t>IND-2023-1469</t>
  </si>
  <si>
    <t>IND-2023-1470</t>
  </si>
  <si>
    <t>IND-2023-1471</t>
  </si>
  <si>
    <t>IND-2023-1472</t>
  </si>
  <si>
    <t>IND-2023-1473</t>
  </si>
  <si>
    <t>IND-2023-1474</t>
  </si>
  <si>
    <t>IND-2023-1475</t>
  </si>
  <si>
    <t>IND-2023-1476</t>
  </si>
  <si>
    <t>IND-2023-1477</t>
  </si>
  <si>
    <t>IND-2023-1478</t>
  </si>
  <si>
    <t>IND-2023-1479</t>
  </si>
  <si>
    <t>IND-2023-1480</t>
  </si>
  <si>
    <t>IND-2023-1481</t>
  </si>
  <si>
    <t>IND-2023-1482</t>
  </si>
  <si>
    <t>IND-2023-1483</t>
  </si>
  <si>
    <t>IND-2023-1484</t>
  </si>
  <si>
    <t>IND-2023-1485</t>
  </si>
  <si>
    <t>IND-2023-1486</t>
  </si>
  <si>
    <t>IND-2023-1487</t>
  </si>
  <si>
    <t>IND-2023-1488</t>
  </si>
  <si>
    <t>IND-2023-1489</t>
  </si>
  <si>
    <t>IND-2023-1490</t>
  </si>
  <si>
    <t>IND-2023-1491</t>
  </si>
  <si>
    <t>IND-2023-1492</t>
  </si>
  <si>
    <t>IND-2023-1493</t>
  </si>
  <si>
    <t>IND-2023-1494</t>
  </si>
  <si>
    <t>IND-2023-1495</t>
  </si>
  <si>
    <t>IND-2023-1496</t>
  </si>
  <si>
    <t>IND-2023-1497</t>
  </si>
  <si>
    <t>IND-2023-1498</t>
  </si>
  <si>
    <t>IND-2023-1499</t>
  </si>
  <si>
    <t>IND-2023-1500</t>
  </si>
  <si>
    <t>IND-2023-1501</t>
  </si>
  <si>
    <t>IND-2023-1502</t>
  </si>
  <si>
    <t>IND-2023-1503</t>
  </si>
  <si>
    <t>IND-2023-1504</t>
  </si>
  <si>
    <t>IND-2023-1505</t>
  </si>
  <si>
    <t>IND-2023-1506</t>
  </si>
  <si>
    <t>IND-2023-1507</t>
  </si>
  <si>
    <t>IND-2023-1508</t>
  </si>
  <si>
    <t>IND-2023-1509</t>
  </si>
  <si>
    <t>IND-2023-1510</t>
  </si>
  <si>
    <t>IND-2023-1511</t>
  </si>
  <si>
    <t>IND-2023-1512</t>
  </si>
  <si>
    <t>IND-2023-1513</t>
  </si>
  <si>
    <t>IND-2023-1514</t>
  </si>
  <si>
    <t>IND-2023-1515</t>
  </si>
  <si>
    <t>IND-2023-1516</t>
  </si>
  <si>
    <t>IND-2023-1517</t>
  </si>
  <si>
    <t>IND-2023-1518</t>
  </si>
  <si>
    <t>IND-2023-1519</t>
  </si>
  <si>
    <t>IND-2023-1520</t>
  </si>
  <si>
    <t>IND-2023-1521</t>
  </si>
  <si>
    <t>IND-2023-1522</t>
  </si>
  <si>
    <t>IND-2023-1523</t>
  </si>
  <si>
    <t>IND-2023-1524</t>
  </si>
  <si>
    <t>IND-2023-1525</t>
  </si>
  <si>
    <t>IND-2023-1526</t>
  </si>
  <si>
    <t>IND-2023-1527</t>
  </si>
  <si>
    <t>IND-2023-1528</t>
  </si>
  <si>
    <t>IND-2023-1529</t>
  </si>
  <si>
    <t>IND-2023-1530</t>
  </si>
  <si>
    <t>IND-2023-1531</t>
  </si>
  <si>
    <t>IND-2023-1532</t>
  </si>
  <si>
    <t>IND-2023-1533</t>
  </si>
  <si>
    <t>IND-2023-1534</t>
  </si>
  <si>
    <t>IND-2023-1535</t>
  </si>
  <si>
    <t>IND-2023-1536</t>
  </si>
  <si>
    <t>IND-2023-1537</t>
  </si>
  <si>
    <t>IND-2023-1538</t>
  </si>
  <si>
    <t>IND-2023-1539</t>
  </si>
  <si>
    <t>IND-2023-1540</t>
  </si>
  <si>
    <t>IND-2023-1541</t>
  </si>
  <si>
    <t>IND-2023-1542</t>
  </si>
  <si>
    <t>IND-2023-1543</t>
  </si>
  <si>
    <t>IND-2023-1544</t>
  </si>
  <si>
    <t>IND-2023-1545</t>
  </si>
  <si>
    <t>IND-2023-1546</t>
  </si>
  <si>
    <t>IND-2023-1547</t>
  </si>
  <si>
    <t>IND-2023-1548</t>
  </si>
  <si>
    <t>IND-2023-1549</t>
  </si>
  <si>
    <t>IND-2023-1550</t>
  </si>
  <si>
    <t>IND-2023-1551</t>
  </si>
  <si>
    <t>IND-2023-1552</t>
  </si>
  <si>
    <t>IND-2023-1553</t>
  </si>
  <si>
    <t>IND-2023-1554</t>
  </si>
  <si>
    <t>IND-2023-1555</t>
  </si>
  <si>
    <t>IND-2023-1556</t>
  </si>
  <si>
    <t>IND-2023-1557</t>
  </si>
  <si>
    <t>IND-2023-1558</t>
  </si>
  <si>
    <t>IND-2023-1559</t>
  </si>
  <si>
    <t>IND-2023-1560</t>
  </si>
  <si>
    <t>IND-2023-1561</t>
  </si>
  <si>
    <t>IND-2023-1562</t>
  </si>
  <si>
    <t>IND-2023-1563</t>
  </si>
  <si>
    <t>IND-2023-1564</t>
  </si>
  <si>
    <t>IND-2023-1565</t>
  </si>
  <si>
    <t>IND-2023-1566</t>
  </si>
  <si>
    <t>IND-2023-1567</t>
  </si>
  <si>
    <t>IND-2023-1568</t>
  </si>
  <si>
    <t>IND-2023-1569</t>
  </si>
  <si>
    <t>IND-2023-1570</t>
  </si>
  <si>
    <t>IND-2023-1571</t>
  </si>
  <si>
    <t>IND-2023-1572</t>
  </si>
  <si>
    <t>IND-2023-1573</t>
  </si>
  <si>
    <t>IND-2023-1574</t>
  </si>
  <si>
    <t>IND-2023-1575</t>
  </si>
  <si>
    <t>IND-2023-1576</t>
  </si>
  <si>
    <t>IND-2023-1577</t>
  </si>
  <si>
    <t>IND-2023-1578</t>
  </si>
  <si>
    <t>IND-2023-1579</t>
  </si>
  <si>
    <t>IND-2023-1580</t>
  </si>
  <si>
    <t>IND-2023-1581</t>
  </si>
  <si>
    <t>IND-2023-1582</t>
  </si>
  <si>
    <t>IND-2023-1583</t>
  </si>
  <si>
    <t>IND-2023-1584</t>
  </si>
  <si>
    <t>IND-2023-1585</t>
  </si>
  <si>
    <t>IND-2023-1586</t>
  </si>
  <si>
    <t>IND-2023-1587</t>
  </si>
  <si>
    <t>IND-2023-1588</t>
  </si>
  <si>
    <t>IND-2023-1589</t>
  </si>
  <si>
    <t>IND-2023-1590</t>
  </si>
  <si>
    <t>IND-2023-1591</t>
  </si>
  <si>
    <t>IND-2023-1592</t>
  </si>
  <si>
    <t>IND-2023-1593</t>
  </si>
  <si>
    <t>IND-2023-1594</t>
  </si>
  <si>
    <t>IND-2023-1595</t>
  </si>
  <si>
    <t>IND-2023-1596</t>
  </si>
  <si>
    <t>IND-2023-1597</t>
  </si>
  <si>
    <t>IND-2023-1598</t>
  </si>
  <si>
    <t>IND-2023-1599</t>
  </si>
  <si>
    <t>IND-2023-1600</t>
  </si>
  <si>
    <t>IND-2023-1601</t>
  </si>
  <si>
    <t>IND-2023-1602</t>
  </si>
  <si>
    <t>IND-2023-1603</t>
  </si>
  <si>
    <t>IND-2023-1604</t>
  </si>
  <si>
    <t>IND-2023-1605</t>
  </si>
  <si>
    <t>IND-2023-1606</t>
  </si>
  <si>
    <t>IND-2023-1607</t>
  </si>
  <si>
    <t>IND-2023-1608</t>
  </si>
  <si>
    <t>IND-2023-1609</t>
  </si>
  <si>
    <t>IND-2023-1610</t>
  </si>
  <si>
    <t>IND-2023-1611</t>
  </si>
  <si>
    <t>IND-2023-1612</t>
  </si>
  <si>
    <t>IND-2023-1613</t>
  </si>
  <si>
    <t>IND-2023-1614</t>
  </si>
  <si>
    <t>IND-2023-1615</t>
  </si>
  <si>
    <t>IND-2023-1616</t>
  </si>
  <si>
    <t>IND-2023-1617</t>
  </si>
  <si>
    <t>IND-2023-1618</t>
  </si>
  <si>
    <t>IND-2023-1619</t>
  </si>
  <si>
    <t>IND-2023-1620</t>
  </si>
  <si>
    <t>IND-2023-1621</t>
  </si>
  <si>
    <t>IND-2023-1622</t>
  </si>
  <si>
    <t>IND-2023-1623</t>
  </si>
  <si>
    <t>IND-2023-1624</t>
  </si>
  <si>
    <t>IND-2023-1625</t>
  </si>
  <si>
    <t>IND-2023-1626</t>
  </si>
  <si>
    <t>IND-2023-1627</t>
  </si>
  <si>
    <t>IND-2023-1628</t>
  </si>
  <si>
    <t>IND-2023-1629</t>
  </si>
  <si>
    <t>IND-2023-1630</t>
  </si>
  <si>
    <t>IND-2023-1631</t>
  </si>
  <si>
    <t>IND-2023-1632</t>
  </si>
  <si>
    <t>IND-2023-1633</t>
  </si>
  <si>
    <t>IND-2023-1634</t>
  </si>
  <si>
    <t>IND-2023-1635</t>
  </si>
  <si>
    <t>IND-2023-1636</t>
  </si>
  <si>
    <t>IND-2023-1637</t>
  </si>
  <si>
    <t>IND-2023-1638</t>
  </si>
  <si>
    <t>IND-2023-1639</t>
  </si>
  <si>
    <t>IND-2023-1640</t>
  </si>
  <si>
    <t>IND-2023-1641</t>
  </si>
  <si>
    <t>IND-2023-1642</t>
  </si>
  <si>
    <t>IND-2023-1643</t>
  </si>
  <si>
    <t>IND-2023-1644</t>
  </si>
  <si>
    <t>IND-2023-1645</t>
  </si>
  <si>
    <t>IND-2023-1646</t>
  </si>
  <si>
    <t>IND-2023-1647</t>
  </si>
  <si>
    <t>IND-2023-1648</t>
  </si>
  <si>
    <t>IND-2023-1649</t>
  </si>
  <si>
    <t>IND-2023-1650</t>
  </si>
  <si>
    <t>IND-2023-1651</t>
  </si>
  <si>
    <t>IND-2023-1652</t>
  </si>
  <si>
    <t>IND-2023-1653</t>
  </si>
  <si>
    <t>IND-2023-1654</t>
  </si>
  <si>
    <t>IND-2023-1655</t>
  </si>
  <si>
    <t>IND-2023-1656</t>
  </si>
  <si>
    <t>IND-2023-1657</t>
  </si>
  <si>
    <t>IND-2023-1658</t>
  </si>
  <si>
    <t>IND-2023-1659</t>
  </si>
  <si>
    <t>IND-2023-1660</t>
  </si>
  <si>
    <t>IND-2023-1661</t>
  </si>
  <si>
    <t>IND-2023-1662</t>
  </si>
  <si>
    <t>IND-2023-1663</t>
  </si>
  <si>
    <t>IND-2023-1664</t>
  </si>
  <si>
    <t>IND-2023-1665</t>
  </si>
  <si>
    <t>IND-2023-1666</t>
  </si>
  <si>
    <t>IND-2023-1667</t>
  </si>
  <si>
    <t>IND-2023-1668</t>
  </si>
  <si>
    <t>IND-2023-1669</t>
  </si>
  <si>
    <t>IND-2023-1670</t>
  </si>
  <si>
    <t>IND-2023-1671</t>
  </si>
  <si>
    <t>IND-2023-1672</t>
  </si>
  <si>
    <t>IND-2023-1673</t>
  </si>
  <si>
    <t>IND-2023-1674</t>
  </si>
  <si>
    <t>IND-2023-1675</t>
  </si>
  <si>
    <t>IND-2023-1676</t>
  </si>
  <si>
    <t>IND-2023-1677</t>
  </si>
  <si>
    <t>IND-2023-1678</t>
  </si>
  <si>
    <t>IND-2023-1679</t>
  </si>
  <si>
    <t>IND-2023-1680</t>
  </si>
  <si>
    <t>IND-2023-1681</t>
  </si>
  <si>
    <t>IND-2023-1682</t>
  </si>
  <si>
    <t>IND-2023-1683</t>
  </si>
  <si>
    <t>IND-2023-1684</t>
  </si>
  <si>
    <t>IND-2023-1685</t>
  </si>
  <si>
    <t>IND-2023-1686</t>
  </si>
  <si>
    <t>IND-2023-1687</t>
  </si>
  <si>
    <t>IND-2023-1688</t>
  </si>
  <si>
    <t>IND-2023-1689</t>
  </si>
  <si>
    <t>IND-2023-1690</t>
  </si>
  <si>
    <t>IND-2023-1691</t>
  </si>
  <si>
    <t>IND-2023-1692</t>
  </si>
  <si>
    <t>IND-2023-1693</t>
  </si>
  <si>
    <t>IND-2023-1694</t>
  </si>
  <si>
    <t>IND-2023-1695</t>
  </si>
  <si>
    <t>IND-2023-1696</t>
  </si>
  <si>
    <t>IND-2023-1697</t>
  </si>
  <si>
    <t>IND-2023-1698</t>
  </si>
  <si>
    <t>IND-2023-1699</t>
  </si>
  <si>
    <t>IND-2023-1700</t>
  </si>
  <si>
    <t>IND-2023-1701</t>
  </si>
  <si>
    <t>IND-2023-1702</t>
  </si>
  <si>
    <t>IND-2023-1703</t>
  </si>
  <si>
    <t>IND-2023-1704</t>
  </si>
  <si>
    <t>IND-2023-1705</t>
  </si>
  <si>
    <t>IND-2023-1706</t>
  </si>
  <si>
    <t>IND-2023-1707</t>
  </si>
  <si>
    <t>IND-2023-1708</t>
  </si>
  <si>
    <t>IND-2023-1709</t>
  </si>
  <si>
    <t>IND-2023-1710</t>
  </si>
  <si>
    <t>IND-2023-1711</t>
  </si>
  <si>
    <t>IND-2023-1712</t>
  </si>
  <si>
    <t>IND-2023-1713</t>
  </si>
  <si>
    <t>IND-2023-1714</t>
  </si>
  <si>
    <t>IND-2023-1715</t>
  </si>
  <si>
    <t>IND-2023-1716</t>
  </si>
  <si>
    <t>IND-2023-1717</t>
  </si>
  <si>
    <t>IND-2023-1718</t>
  </si>
  <si>
    <t>IND-2023-1719</t>
  </si>
  <si>
    <t>IND-2023-1720</t>
  </si>
  <si>
    <t>IND-2023-1721</t>
  </si>
  <si>
    <t>IND-2023-1722</t>
  </si>
  <si>
    <t>IND-2023-1723</t>
  </si>
  <si>
    <t>IND-2023-1724</t>
  </si>
  <si>
    <t>IND-2023-1725</t>
  </si>
  <si>
    <t>IND-2023-1726</t>
  </si>
  <si>
    <t>IND-2023-1727</t>
  </si>
  <si>
    <t>IND-2023-1728</t>
  </si>
  <si>
    <t>IND-2023-1729</t>
  </si>
  <si>
    <t>IND-2023-1730</t>
  </si>
  <si>
    <t>IND-2023-1731</t>
  </si>
  <si>
    <t>IND-2023-1732</t>
  </si>
  <si>
    <t>IND-2023-1733</t>
  </si>
  <si>
    <t>IND-2023-1734</t>
  </si>
  <si>
    <t>IND-2023-1735</t>
  </si>
  <si>
    <t>IND-2023-1736</t>
  </si>
  <si>
    <t>IND-2023-1737</t>
  </si>
  <si>
    <t>IND-2023-1738</t>
  </si>
  <si>
    <t>IND-2023-1739</t>
  </si>
  <si>
    <t>IND-2023-1740</t>
  </si>
  <si>
    <t>IND-2023-1741</t>
  </si>
  <si>
    <t>IND-2023-1742</t>
  </si>
  <si>
    <t>IND-2023-1743</t>
  </si>
  <si>
    <t>IND-2023-1744</t>
  </si>
  <si>
    <t>IND-2023-1745</t>
  </si>
  <si>
    <t>IND-2023-1746</t>
  </si>
  <si>
    <t>IND-2023-1747</t>
  </si>
  <si>
    <t>IND-2023-1748</t>
  </si>
  <si>
    <t>IND-2023-1749</t>
  </si>
  <si>
    <t>IND-2023-1750</t>
  </si>
  <si>
    <t>IND-2023-1751</t>
  </si>
  <si>
    <t>IND-2023-1752</t>
  </si>
  <si>
    <t>IND-2023-1753</t>
  </si>
  <si>
    <t>IND-2023-1754</t>
  </si>
  <si>
    <t>IND-2023-1755</t>
  </si>
  <si>
    <t>IND-2023-1756</t>
  </si>
  <si>
    <t>IND-2023-1757</t>
  </si>
  <si>
    <t>IND-2023-1758</t>
  </si>
  <si>
    <t>IND-2023-1759</t>
  </si>
  <si>
    <t>IND-2023-1760</t>
  </si>
  <si>
    <t>IND-2023-1761</t>
  </si>
  <si>
    <t>IND-2023-1762</t>
  </si>
  <si>
    <t>IND-2023-1763</t>
  </si>
  <si>
    <t>IND-2023-1764</t>
  </si>
  <si>
    <t>IND-2023-1765</t>
  </si>
  <si>
    <t>IND-2023-1766</t>
  </si>
  <si>
    <t>IND-2023-1767</t>
  </si>
  <si>
    <t>IND-2023-1768</t>
  </si>
  <si>
    <t>IND-2023-1769</t>
  </si>
  <si>
    <t>IND-2023-1770</t>
  </si>
  <si>
    <t>IND-2023-1771</t>
  </si>
  <si>
    <t>IND-2023-1772</t>
  </si>
  <si>
    <t>IND-2023-1773</t>
  </si>
  <si>
    <t>IND-2023-1774</t>
  </si>
  <si>
    <t>IND-2023-1775</t>
  </si>
  <si>
    <t>IND-2023-1776</t>
  </si>
  <si>
    <t>IND-2023-1777</t>
  </si>
  <si>
    <t>IND-2023-1778</t>
  </si>
  <si>
    <t>IND-2023-1779</t>
  </si>
  <si>
    <t>IND-2023-1780</t>
  </si>
  <si>
    <t>IND-2023-1781</t>
  </si>
  <si>
    <t>IND-2023-1782</t>
  </si>
  <si>
    <t>IND-2023-1783</t>
  </si>
  <si>
    <t>IND-2023-1784</t>
  </si>
  <si>
    <t>IND-2023-1785</t>
  </si>
  <si>
    <t>IND-2023-1786</t>
  </si>
  <si>
    <t>IND-2023-1787</t>
  </si>
  <si>
    <t>IND-2023-1788</t>
  </si>
  <si>
    <t>IND-2023-1789</t>
  </si>
  <si>
    <t>IND-2023-1790</t>
  </si>
  <si>
    <t>IND-2023-1791</t>
  </si>
  <si>
    <t>IND-2023-1792</t>
  </si>
  <si>
    <t>IND-2023-1793</t>
  </si>
  <si>
    <t>IND-2023-1794</t>
  </si>
  <si>
    <t>IND-2023-1795</t>
  </si>
  <si>
    <t>IND-2023-1796</t>
  </si>
  <si>
    <t>IND-2023-1797</t>
  </si>
  <si>
    <t>IND-2023-1798</t>
  </si>
  <si>
    <t>IND-2023-1799</t>
  </si>
  <si>
    <t>IND-2023-1800</t>
  </si>
  <si>
    <t>IND-2023-1801</t>
  </si>
  <si>
    <t>IND-2023-1802</t>
  </si>
  <si>
    <t>IND-2023-1803</t>
  </si>
  <si>
    <t>IND-2023-1804</t>
  </si>
  <si>
    <t>IND-2023-1805</t>
  </si>
  <si>
    <t>IND-2023-1806</t>
  </si>
  <si>
    <t>IND-2023-1807</t>
  </si>
  <si>
    <t>IND-2023-1808</t>
  </si>
  <si>
    <t>IND-2023-1809</t>
  </si>
  <si>
    <t>IND-2023-1810</t>
  </si>
  <si>
    <t>IND-2023-1811</t>
  </si>
  <si>
    <t>IND-2023-1812</t>
  </si>
  <si>
    <t>IND-2023-1813</t>
  </si>
  <si>
    <t>IND-2023-1814</t>
  </si>
  <si>
    <t>IND-2023-1815</t>
  </si>
  <si>
    <t>IND-2023-1816</t>
  </si>
  <si>
    <t>IND-2023-1817</t>
  </si>
  <si>
    <t>IND-2023-1818</t>
  </si>
  <si>
    <t>IND-2023-1819</t>
  </si>
  <si>
    <t>IND-2023-1820</t>
  </si>
  <si>
    <t>IND-2023-1821</t>
  </si>
  <si>
    <t>IND-2023-1822</t>
  </si>
  <si>
    <t>IND-2023-1823</t>
  </si>
  <si>
    <t>IND-2023-1824</t>
  </si>
  <si>
    <t>IND-2023-1825</t>
  </si>
  <si>
    <t>IND-2023-1826</t>
  </si>
  <si>
    <t>IND-2023-1827</t>
  </si>
  <si>
    <t>IND-2023-1828</t>
  </si>
  <si>
    <t>IND-2023-1829</t>
  </si>
  <si>
    <t>IND-2023-1830</t>
  </si>
  <si>
    <t>IND-2023-1831</t>
  </si>
  <si>
    <t>IND-2023-1832</t>
  </si>
  <si>
    <t>IND-2023-1833</t>
  </si>
  <si>
    <t>IND-2023-1834</t>
  </si>
  <si>
    <t>IND-2023-1835</t>
  </si>
  <si>
    <t>IND-2023-1836</t>
  </si>
  <si>
    <t>IND-2023-1837</t>
  </si>
  <si>
    <t>IND-2023-1838</t>
  </si>
  <si>
    <t>IND-2023-1839</t>
  </si>
  <si>
    <t>IND-2023-1840</t>
  </si>
  <si>
    <t>IND-2023-1841</t>
  </si>
  <si>
    <t>IND-2023-1842</t>
  </si>
  <si>
    <t>IND-2023-1843</t>
  </si>
  <si>
    <t>IND-2023-1844</t>
  </si>
  <si>
    <t>IND-2023-1845</t>
  </si>
  <si>
    <t>IND-2023-1846</t>
  </si>
  <si>
    <t>IND-2023-1847</t>
  </si>
  <si>
    <t>IND-2023-1848</t>
  </si>
  <si>
    <t>IND-2023-1849</t>
  </si>
  <si>
    <t>IND-2023-1850</t>
  </si>
  <si>
    <t>Cleaning_check</t>
  </si>
  <si>
    <t>Result</t>
  </si>
  <si>
    <t>Original data records</t>
  </si>
  <si>
    <t>Duplicate Order ID occurrences removed</t>
  </si>
  <si>
    <t>Records after duplicate removal</t>
  </si>
  <si>
    <t>Negative Profit records</t>
  </si>
  <si>
    <t>Zero Quantity values</t>
  </si>
  <si>
    <t>Missing Order Dates</t>
  </si>
  <si>
    <t xml:space="preserve">Missing Sales value </t>
  </si>
  <si>
    <t>Missing Profit values</t>
  </si>
  <si>
    <t>Missing Customer IDs</t>
  </si>
  <si>
    <t>Missing Product name</t>
  </si>
  <si>
    <t>Missing category value</t>
  </si>
  <si>
    <t xml:space="preserve">Missing values in the order checked column </t>
  </si>
  <si>
    <t>Valid excel order dates</t>
  </si>
  <si>
    <t>850 out of 850</t>
  </si>
  <si>
    <t>Grand Total</t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</si>
  <si>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</si>
  <si>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</si>
  <si>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</si>
  <si>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</si>
  <si>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</si>
  <si>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</si>
  <si>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</si>
  <si>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</si>
  <si>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</si>
  <si>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</si>
  <si>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</si>
  <si>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</si>
  <si>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>Sum of Sales</t>
  </si>
  <si>
    <t>Sum of Profit</t>
  </si>
  <si>
    <t>(blank)</t>
  </si>
  <si>
    <t>Order status</t>
  </si>
  <si>
    <t>Profit Margin %</t>
  </si>
  <si>
    <t>E-commerce Profitability Analysis</t>
  </si>
  <si>
    <t>Total Sales</t>
  </si>
  <si>
    <t>Total Profit</t>
  </si>
  <si>
    <t>Overall Profit Margin</t>
  </si>
  <si>
    <t>Total Orders</t>
  </si>
  <si>
    <t>Product</t>
  </si>
  <si>
    <t>Month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</si>
</sst>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&quot;₹&quot;\ #,##0.00"/>
  </numFmts>
  <fonts count="22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0"/>
      <color theme="1"/>
      <name val="Arial Unicode MS"/>
    </font>
    <font>
      <b/>
      <sz val="16"/>
      <color theme="1"/>
      <name val="Calibri"/>
      <family val="2"/>
      <scheme val="minor"/>
    </font>
    <font>
      <b/>
      <sz val="10"/>
      <color theme="1"/>
      <name val="Arial Unicode MS"/>
    </font>
    <font>
      <b/>
      <sz val="18"/>
      <color theme="1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1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3">
    <xf numFmtId="0" fontId="0" fillId="0" borderId="0" xfId="0"/>
    <xf numFmtId="14" fontId="0" fillId="0" borderId="0" xfId="0" applyNumberFormat="1"/>
    <xf numFmtId="0" fontId="0" fillId="0" borderId="0" xfId="0" pivotButton="1"/>
    <xf numFmtId="0" fontId="0" fillId="0" borderId="0" xfId="0" applyAlignment="1">
      <alignment horizontal="left"/>
    </xf>
    <xf numFmtId="4" fontId="0" fillId="0" borderId="0" xfId="0" applyNumberFormat="1"/>
    <xf numFmtId="10" fontId="18" fillId="0" borderId="0" xfId="0" applyNumberFormat="1" applyFont="1" applyAlignment="1">
      <alignment vertical="center"/>
    </xf>
    <xf numFmtId="10" fontId="0" fillId="0" borderId="0" xfId="0" applyNumberFormat="1"/>
    <xf numFmtId="0" fontId="16" fillId="0" borderId="10" xfId="0" applyFont="1" applyBorder="1"/>
    <xf numFmtId="164" fontId="16" fillId="0" borderId="10" xfId="0" applyNumberFormat="1" applyFont="1" applyBorder="1"/>
    <xf numFmtId="10" fontId="16" fillId="0" borderId="10" xfId="0" applyNumberFormat="1" applyFont="1" applyBorder="1"/>
    <xf numFmtId="3" fontId="20" fillId="0" borderId="10" xfId="0" applyNumberFormat="1" applyFont="1" applyBorder="1"/>
    <xf numFmtId="0" fontId="19" fillId="0" borderId="0" xfId="0" applyFont="1" applyAlignment="1">
      <alignment horizontal="center"/>
    </xf>
    <xf numFmtId="0" fontId="21" fillId="0" borderId="0" xfId="0" applyFont="1" applyAlignmen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16">
    <dxf>
      <numFmt numFmtId="19" formatCode="dd/mm/yyyy"/>
    </dxf>
    <dxf>
      <numFmt numFmtId="4" formatCode="#,##0.00"/>
    </dxf>
    <dxf>
      <numFmt numFmtId="4" formatCode="#,##0.00"/>
    </dxf>
    <dxf>
      <numFmt numFmtId="4" formatCode="#,##0.00"/>
    </dxf>
    <dxf>
      <numFmt numFmtId="4" formatCode="#,##0.00"/>
    </dxf>
    <dxf>
      <numFmt numFmtId="4" formatCode="#,##0.00"/>
    </dxf>
    <dxf>
      <numFmt numFmtId="4" formatCode="#,##0.00"/>
    </dxf>
    <dxf>
      <numFmt numFmtId="4" formatCode="#,##0.00"/>
    </dxf>
    <dxf>
      <numFmt numFmtId="4" formatCode="#,##0.00"/>
    </dxf>
    <dxf>
      <numFmt numFmtId="4" formatCode="#,##0.00"/>
    </dxf>
    <dxf>
      <numFmt numFmtId="4" formatCode="#,##0.00"/>
    </dxf>
    <dxf>
      <numFmt numFmtId="4" formatCode="#,##0.00"/>
    </dxf>
    <dxf>
      <numFmt numFmtId="4" formatCode="#,##0.00"/>
    </dxf>
    <dxf>
      <numFmt numFmtId="4" formatCode="#,##0.00"/>
    </dxf>
    <dxf>
      <numFmt numFmtId="4" formatCode="#,##0.00"/>
    </dxf>
    <dxf>
      <numFmt numFmtId="4" formatCode="#,##0.0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pivotCacheDefinition" Target="pivotCache/pivotCacheDefinition1.xml"/><Relationship Id="rId2" Type="http://schemas.openxmlformats.org/officeDocument/2006/relationships/worksheet" Target="worksheets/sheet2.xml"/><Relationship Id="rId16" Type="http://schemas.openxmlformats.org/officeDocument/2006/relationships/calcChain" Target="calcChain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_rels/chart8.xml.rels><?xml version="1.0" encoding="UTF-8" standalone="yes"?>
<Relationships xmlns="http://schemas.openxmlformats.org/package/2006/relationships"><Relationship Id="rId2" Type="http://schemas.microsoft.com/office/2011/relationships/chartColorStyle" Target="colors8.xml"/><Relationship Id="rId1" Type="http://schemas.microsoft.com/office/2011/relationships/chartStyle" Target="style8.xml"/></Relationships>
</file>

<file path=xl/charts/_rels/chart9.xml.rels><?xml version="1.0" encoding="UTF-8" standalone="yes"?>
<Relationships xmlns="http://schemas.openxmlformats.org/package/2006/relationships"><Relationship Id="rId2" Type="http://schemas.microsoft.com/office/2011/relationships/chartColorStyle" Target="colors9.xml"/><Relationship Id="rId1" Type="http://schemas.microsoft.com/office/2011/relationships/chartStyle" Target="style9.xml"/></Relationships>
</file>

<file path=xl/charts/_rels/chart10.xml.rels><?xml version="1.0" encoding="UTF-8" standalone="yes"?>
<Relationships xmlns="http://schemas.openxmlformats.org/package/2006/relationships"><Relationship Id="rId2" Type="http://schemas.microsoft.com/office/2011/relationships/chartColorStyle" Target="colors10.xml"/><Relationship Id="rId1" Type="http://schemas.microsoft.com/office/2011/relationships/chartStyle" Target="style10.xml"/></Relationships>
</file>

<file path=xl/charts/_rels/chart11.xml.rels><?xml version="1.0" encoding="UTF-8" standalone="yes"?>
<Relationships xmlns="http://schemas.openxmlformats.org/package/2006/relationships"><Relationship Id="rId2" Type="http://schemas.microsoft.com/office/2011/relationships/chartColorStyle" Target="colors11.xml"/><Relationship Id="rId1" Type="http://schemas.microsoft.com/office/2011/relationships/chartStyle" Target="style11.xml"/></Relationships>
</file>

<file path=xl/charts/_rels/chart12.xml.rels><?xml version="1.0" encoding="UTF-8" standalone="yes"?>
<Relationships xmlns="http://schemas.openxmlformats.org/package/2006/relationships"><Relationship Id="rId2" Type="http://schemas.microsoft.com/office/2011/relationships/chartColorStyle" Target="colors12.xml"/><Relationship Id="rId1" Type="http://schemas.microsoft.com/office/2011/relationships/chartStyle" Target="style12.xml"/></Relationships>
</file>

<file path=xl/charts/_rels/chart13.xml.rels><?xml version="1.0" encoding="UTF-8" standalone="yes"?>
<Relationships xmlns="http://schemas.openxmlformats.org/package/2006/relationships"><Relationship Id="rId2" Type="http://schemas.microsoft.com/office/2011/relationships/chartColorStyle" Target="colors13.xml"/><Relationship Id="rId1" Type="http://schemas.microsoft.com/office/2011/relationships/chartStyle" Target="style13.xml"/></Relationships>
</file>

<file path=xl/charts/_rels/chart14.xml.rels><?xml version="1.0" encoding="UTF-8" standalone="yes"?>
<Relationships xmlns="http://schemas.openxmlformats.org/package/2006/relationships"><Relationship Id="rId2" Type="http://schemas.microsoft.com/office/2011/relationships/chartColorStyle" Target="colors14.xml"/><Relationship Id="rId1" Type="http://schemas.microsoft.com/office/2011/relationships/chartStyle" Target="style14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[ecommerce_profitability_analysis.xlsx]Monthly Analysis!PivotTable1</c:name>
    <c:fmtId val="9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N" sz="1400" b="0" i="0" u="none" strike="noStrike" baseline="0"/>
              <a:t>Monthly Sales and Profit — 2023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'Monthly Analysis'!$B$3</c:f>
              <c:strCache>
                <c:ptCount val="1"/>
                <c:pt idx="0">
                  <c:v>Sum of Sales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'Monthly Analysis'!$A$4:$A$16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'Monthly Analysis'!$B$4:$B$16</c:f>
              <c:numCache>
                <c:formatCode>#,##0.00</c:formatCode>
                <c:ptCount val="12"/>
                <c:pt idx="0">
                  <c:v>2202539.1999999997</c:v>
                </c:pt>
                <c:pt idx="1">
                  <c:v>1056160.2999999998</c:v>
                </c:pt>
                <c:pt idx="2">
                  <c:v>1844680.1500000004</c:v>
                </c:pt>
                <c:pt idx="3">
                  <c:v>1848171.8000000003</c:v>
                </c:pt>
                <c:pt idx="4">
                  <c:v>2452825.9000000004</c:v>
                </c:pt>
                <c:pt idx="5">
                  <c:v>1235256.6499999999</c:v>
                </c:pt>
                <c:pt idx="6">
                  <c:v>1179415.4500000002</c:v>
                </c:pt>
                <c:pt idx="7">
                  <c:v>1351845.9500000002</c:v>
                </c:pt>
                <c:pt idx="8">
                  <c:v>1906323.8999999997</c:v>
                </c:pt>
                <c:pt idx="9">
                  <c:v>1691622.2499999998</c:v>
                </c:pt>
                <c:pt idx="10">
                  <c:v>1773905.5999999996</c:v>
                </c:pt>
                <c:pt idx="11">
                  <c:v>2307319.2000000007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0421-499D-9715-27F31807E24A}"/>
            </c:ext>
          </c:extLst>
        </c:ser>
        <c:ser>
          <c:idx val="1"/>
          <c:order val="1"/>
          <c:tx>
            <c:strRef>
              <c:f>'Monthly Analysis'!$C$3</c:f>
              <c:strCache>
                <c:ptCount val="1"/>
                <c:pt idx="0">
                  <c:v>Sum of Profit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'Monthly Analysis'!$A$4:$A$16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'Monthly Analysis'!$C$4:$C$16</c:f>
              <c:numCache>
                <c:formatCode>#,##0.00</c:formatCode>
                <c:ptCount val="12"/>
                <c:pt idx="0">
                  <c:v>70941.45</c:v>
                </c:pt>
                <c:pt idx="1">
                  <c:v>48880.780000000006</c:v>
                </c:pt>
                <c:pt idx="2">
                  <c:v>64036.720000000008</c:v>
                </c:pt>
                <c:pt idx="3">
                  <c:v>84200.76</c:v>
                </c:pt>
                <c:pt idx="4">
                  <c:v>101518.00000000001</c:v>
                </c:pt>
                <c:pt idx="5">
                  <c:v>53522.55000000001</c:v>
                </c:pt>
                <c:pt idx="6">
                  <c:v>66723.739999999991</c:v>
                </c:pt>
                <c:pt idx="7">
                  <c:v>21128.270000000008</c:v>
                </c:pt>
                <c:pt idx="8">
                  <c:v>72255.090000000011</c:v>
                </c:pt>
                <c:pt idx="9">
                  <c:v>35963.640000000021</c:v>
                </c:pt>
                <c:pt idx="10">
                  <c:v>7628.2400000000025</c:v>
                </c:pt>
                <c:pt idx="11">
                  <c:v>48612.30000000001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0421-499D-9715-27F31807E24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749022223"/>
        <c:axId val="1757993327"/>
      </c:barChart>
      <c:catAx>
        <c:axId val="1749022223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57993327"/>
        <c:crosses val="autoZero"/>
        <c:auto val="1"/>
        <c:lblAlgn val="ctr"/>
        <c:lblOffset val="100"/>
        <c:noMultiLvlLbl val="0"/>
      </c:catAx>
      <c:valAx>
        <c:axId val="175799332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.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49022223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[ecommerce_profitability_analysis.xlsx]Category Analysis!PivotTable2</c:name>
    <c:fmtId val="3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N" sz="1400" b="0" i="0" u="none" strike="noStrike" baseline="0"/>
              <a:t>Sales and Profit by Category</a:t>
            </a:r>
            <a:endParaRPr lang="en-IN"/>
          </a:p>
        </c:rich>
      </c:tx>
      <c:layout>
        <c:manualLayout>
          <c:xMode val="edge"/>
          <c:yMode val="edge"/>
          <c:x val="0.52965966754155736"/>
          <c:y val="7.3053368328958895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IN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'Category Analysis'!$B$3</c:f>
              <c:strCache>
                <c:ptCount val="1"/>
                <c:pt idx="0">
                  <c:v>Sum of Sales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'Category Analysis'!$A$4:$A$9</c:f>
              <c:strCache>
                <c:ptCount val="5"/>
                <c:pt idx="0">
                  <c:v>Beauty &amp; Personal Care</c:v>
                </c:pt>
                <c:pt idx="1">
                  <c:v>Electronics</c:v>
                </c:pt>
                <c:pt idx="2">
                  <c:v>Fashion</c:v>
                </c:pt>
                <c:pt idx="3">
                  <c:v>Home &amp; Kitchen</c:v>
                </c:pt>
                <c:pt idx="4">
                  <c:v>Mobiles &amp; Accessories</c:v>
                </c:pt>
              </c:strCache>
            </c:strRef>
          </c:cat>
          <c:val>
            <c:numRef>
              <c:f>'Category Analysis'!$B$4:$B$9</c:f>
              <c:numCache>
                <c:formatCode>#,##0.00</c:formatCode>
                <c:ptCount val="5"/>
                <c:pt idx="0">
                  <c:v>213971.45000000004</c:v>
                </c:pt>
                <c:pt idx="1">
                  <c:v>8483634.0999999978</c:v>
                </c:pt>
                <c:pt idx="2">
                  <c:v>797995.14999999956</c:v>
                </c:pt>
                <c:pt idx="3">
                  <c:v>1848285.9000000008</c:v>
                </c:pt>
                <c:pt idx="4">
                  <c:v>9506179.7499999981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BD03-4291-9D7F-383B9D6ABC30}"/>
            </c:ext>
          </c:extLst>
        </c:ser>
        <c:ser>
          <c:idx val="1"/>
          <c:order val="1"/>
          <c:tx>
            <c:strRef>
              <c:f>'Category Analysis'!$C$3</c:f>
              <c:strCache>
                <c:ptCount val="1"/>
                <c:pt idx="0">
                  <c:v>Sum of Profit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'Category Analysis'!$A$4:$A$9</c:f>
              <c:strCache>
                <c:ptCount val="5"/>
                <c:pt idx="0">
                  <c:v>Beauty &amp; Personal Care</c:v>
                </c:pt>
                <c:pt idx="1">
                  <c:v>Electronics</c:v>
                </c:pt>
                <c:pt idx="2">
                  <c:v>Fashion</c:v>
                </c:pt>
                <c:pt idx="3">
                  <c:v>Home &amp; Kitchen</c:v>
                </c:pt>
                <c:pt idx="4">
                  <c:v>Mobiles &amp; Accessories</c:v>
                </c:pt>
              </c:strCache>
            </c:strRef>
          </c:cat>
          <c:val>
            <c:numRef>
              <c:f>'Category Analysis'!$C$4:$C$9</c:f>
              <c:numCache>
                <c:formatCode>#,##0.00</c:formatCode>
                <c:ptCount val="5"/>
                <c:pt idx="0">
                  <c:v>49377.760000000009</c:v>
                </c:pt>
                <c:pt idx="1">
                  <c:v>241243.62000000002</c:v>
                </c:pt>
                <c:pt idx="2">
                  <c:v>80897.63</c:v>
                </c:pt>
                <c:pt idx="3">
                  <c:v>-67894.619999999952</c:v>
                </c:pt>
                <c:pt idx="4">
                  <c:v>371787.15000000008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BD03-4291-9D7F-383B9D6ABC3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471871967"/>
        <c:axId val="1758025967"/>
      </c:barChart>
      <c:catAx>
        <c:axId val="1471871967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58025967"/>
        <c:crosses val="autoZero"/>
        <c:auto val="1"/>
        <c:lblAlgn val="ctr"/>
        <c:lblOffset val="100"/>
        <c:noMultiLvlLbl val="0"/>
      </c:catAx>
      <c:valAx>
        <c:axId val="175802596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.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71871967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[ecommerce_profitability_analysis.xlsx]Product Analysis!PivotTable3</c:name>
    <c:fmtId val="1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N" sz="1400" b="0" i="0" u="none" strike="noStrike" baseline="0"/>
              <a:t>Top 10 Products by Sales</a:t>
            </a:r>
            <a:endParaRPr lang="en-IN"/>
          </a:p>
        </c:rich>
      </c:tx>
      <c:layout>
        <c:manualLayout>
          <c:xMode val="edge"/>
          <c:yMode val="edge"/>
          <c:x val="0.52827077865266847"/>
          <c:y val="5.4534849810440364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IN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'Product Analysis'!$B$3</c:f>
              <c:strCache>
                <c:ptCount val="1"/>
                <c:pt idx="0">
                  <c:v>Sum of Sales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'Product Analysis'!$A$4:$A$14</c:f>
              <c:strCache>
                <c:ptCount val="10"/>
                <c:pt idx="0">
                  <c:v>Canon EOS 1500D DSLR Camera</c:v>
                </c:pt>
                <c:pt idx="1">
                  <c:v>HP Pavilion 15 Core i5 Laptop</c:v>
                </c:pt>
                <c:pt idx="2">
                  <c:v>JBL Flip 6 Portable Bluetooth Speaker</c:v>
                </c:pt>
                <c:pt idx="3">
                  <c:v>OnePlus 11R 5G (128GB)</c:v>
                </c:pt>
                <c:pt idx="4">
                  <c:v>Philips Air Fryer HD9200</c:v>
                </c:pt>
                <c:pt idx="5">
                  <c:v>Pigeon 4-Burner Glass Top Gas Stove</c:v>
                </c:pt>
                <c:pt idx="6">
                  <c:v>Redmi Note 12 Pro 5G</c:v>
                </c:pt>
                <c:pt idx="7">
                  <c:v>Samsung Galaxy S23 5G</c:v>
                </c:pt>
                <c:pt idx="8">
                  <c:v>Sony Bravia 43-inch 4K LED TV</c:v>
                </c:pt>
                <c:pt idx="9">
                  <c:v>Wakefit Ergonomic Orthopedic Mattress</c:v>
                </c:pt>
              </c:strCache>
            </c:strRef>
          </c:cat>
          <c:val>
            <c:numRef>
              <c:f>'Product Analysis'!$B$4:$B$14</c:f>
              <c:numCache>
                <c:formatCode>General</c:formatCode>
                <c:ptCount val="10"/>
                <c:pt idx="0">
                  <c:v>2678962</c:v>
                </c:pt>
                <c:pt idx="1">
                  <c:v>2895223.5</c:v>
                </c:pt>
                <c:pt idx="2">
                  <c:v>516092.64999999985</c:v>
                </c:pt>
                <c:pt idx="3">
                  <c:v>3107922.3000000003</c:v>
                </c:pt>
                <c:pt idx="4">
                  <c:v>292779.94999999995</c:v>
                </c:pt>
                <c:pt idx="5">
                  <c:v>274491.14999999997</c:v>
                </c:pt>
                <c:pt idx="6">
                  <c:v>1346338.8</c:v>
                </c:pt>
                <c:pt idx="7">
                  <c:v>4761176.75</c:v>
                </c:pt>
                <c:pt idx="8">
                  <c:v>2261420</c:v>
                </c:pt>
                <c:pt idx="9">
                  <c:v>917426.6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E2FC-4BC2-81F3-350FE5ADF98A}"/>
            </c:ext>
          </c:extLst>
        </c:ser>
        <c:ser>
          <c:idx val="1"/>
          <c:order val="1"/>
          <c:tx>
            <c:strRef>
              <c:f>'Product Analysis'!$C$3</c:f>
              <c:strCache>
                <c:ptCount val="1"/>
                <c:pt idx="0">
                  <c:v>Sum of Profit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'Product Analysis'!$A$4:$A$14</c:f>
              <c:strCache>
                <c:ptCount val="10"/>
                <c:pt idx="0">
                  <c:v>Canon EOS 1500D DSLR Camera</c:v>
                </c:pt>
                <c:pt idx="1">
                  <c:v>HP Pavilion 15 Core i5 Laptop</c:v>
                </c:pt>
                <c:pt idx="2">
                  <c:v>JBL Flip 6 Portable Bluetooth Speaker</c:v>
                </c:pt>
                <c:pt idx="3">
                  <c:v>OnePlus 11R 5G (128GB)</c:v>
                </c:pt>
                <c:pt idx="4">
                  <c:v>Philips Air Fryer HD9200</c:v>
                </c:pt>
                <c:pt idx="5">
                  <c:v>Pigeon 4-Burner Glass Top Gas Stove</c:v>
                </c:pt>
                <c:pt idx="6">
                  <c:v>Redmi Note 12 Pro 5G</c:v>
                </c:pt>
                <c:pt idx="7">
                  <c:v>Samsung Galaxy S23 5G</c:v>
                </c:pt>
                <c:pt idx="8">
                  <c:v>Sony Bravia 43-inch 4K LED TV</c:v>
                </c:pt>
                <c:pt idx="9">
                  <c:v>Wakefit Ergonomic Orthopedic Mattress</c:v>
                </c:pt>
              </c:strCache>
            </c:strRef>
          </c:cat>
          <c:val>
            <c:numRef>
              <c:f>'Product Analysis'!$C$4:$C$14</c:f>
              <c:numCache>
                <c:formatCode>General</c:formatCode>
                <c:ptCount val="10"/>
                <c:pt idx="0">
                  <c:v>44058.45</c:v>
                </c:pt>
                <c:pt idx="1">
                  <c:v>107499.75</c:v>
                </c:pt>
                <c:pt idx="2">
                  <c:v>30342.26</c:v>
                </c:pt>
                <c:pt idx="3">
                  <c:v>119404.93</c:v>
                </c:pt>
                <c:pt idx="4">
                  <c:v>29588.530000000002</c:v>
                </c:pt>
                <c:pt idx="5">
                  <c:v>33075.100000000006</c:v>
                </c:pt>
                <c:pt idx="6">
                  <c:v>30185.61</c:v>
                </c:pt>
                <c:pt idx="7">
                  <c:v>180342.91</c:v>
                </c:pt>
                <c:pt idx="8">
                  <c:v>37793.39</c:v>
                </c:pt>
                <c:pt idx="9">
                  <c:v>-158120.47999999998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E2FC-4BC2-81F3-350FE5ADF98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921645375"/>
        <c:axId val="1758020687"/>
      </c:barChart>
      <c:catAx>
        <c:axId val="1921645375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58020687"/>
        <c:crosses val="autoZero"/>
        <c:auto val="1"/>
        <c:lblAlgn val="ctr"/>
        <c:lblOffset val="100"/>
        <c:noMultiLvlLbl val="0"/>
      </c:catAx>
      <c:valAx>
        <c:axId val="175802068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21645375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[ecommerce_profitability_analysis.xlsx]Region Analysis!PivotTable4</c:name>
    <c:fmtId val="1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N" sz="1400" b="0" i="0" u="none" strike="noStrike" baseline="0"/>
              <a:t>Sales and Profit by Region</a:t>
            </a:r>
            <a:endParaRPr lang="en-IN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IN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'Region Analysis'!$B$3</c:f>
              <c:strCache>
                <c:ptCount val="1"/>
                <c:pt idx="0">
                  <c:v>Sum of Sales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'Region Analysis'!$A$4:$A$8</c:f>
              <c:strCache>
                <c:ptCount val="4"/>
                <c:pt idx="0">
                  <c:v>East</c:v>
                </c:pt>
                <c:pt idx="1">
                  <c:v>North</c:v>
                </c:pt>
                <c:pt idx="2">
                  <c:v>South</c:v>
                </c:pt>
                <c:pt idx="3">
                  <c:v>West</c:v>
                </c:pt>
              </c:strCache>
            </c:strRef>
          </c:cat>
          <c:val>
            <c:numRef>
              <c:f>'Region Analysis'!$B$4:$B$8</c:f>
              <c:numCache>
                <c:formatCode>#,##0.00</c:formatCode>
                <c:ptCount val="4"/>
                <c:pt idx="0">
                  <c:v>5343073.1000000015</c:v>
                </c:pt>
                <c:pt idx="1">
                  <c:v>5336867.4999999991</c:v>
                </c:pt>
                <c:pt idx="2">
                  <c:v>3192053.1500000004</c:v>
                </c:pt>
                <c:pt idx="3">
                  <c:v>6978072.5999999987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6B8E-4A0F-87E9-77E7E81EDCCB}"/>
            </c:ext>
          </c:extLst>
        </c:ser>
        <c:ser>
          <c:idx val="1"/>
          <c:order val="1"/>
          <c:tx>
            <c:strRef>
              <c:f>'Region Analysis'!$C$3</c:f>
              <c:strCache>
                <c:ptCount val="1"/>
                <c:pt idx="0">
                  <c:v>Sum of Profit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'Region Analysis'!$A$4:$A$8</c:f>
              <c:strCache>
                <c:ptCount val="4"/>
                <c:pt idx="0">
                  <c:v>East</c:v>
                </c:pt>
                <c:pt idx="1">
                  <c:v>North</c:v>
                </c:pt>
                <c:pt idx="2">
                  <c:v>South</c:v>
                </c:pt>
                <c:pt idx="3">
                  <c:v>West</c:v>
                </c:pt>
              </c:strCache>
            </c:strRef>
          </c:cat>
          <c:val>
            <c:numRef>
              <c:f>'Region Analysis'!$C$4:$C$8</c:f>
              <c:numCache>
                <c:formatCode>#,##0.00</c:formatCode>
                <c:ptCount val="4"/>
                <c:pt idx="0">
                  <c:v>104157.32999999999</c:v>
                </c:pt>
                <c:pt idx="1">
                  <c:v>124146.4099999999</c:v>
                </c:pt>
                <c:pt idx="2">
                  <c:v>126149.66999999998</c:v>
                </c:pt>
                <c:pt idx="3">
                  <c:v>320958.13000000012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6B8E-4A0F-87E9-77E7E81EDCC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920875807"/>
        <c:axId val="1757979407"/>
      </c:barChart>
      <c:catAx>
        <c:axId val="1920875807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57979407"/>
        <c:crosses val="autoZero"/>
        <c:auto val="1"/>
        <c:lblAlgn val="ctr"/>
        <c:lblOffset val="100"/>
        <c:noMultiLvlLbl val="0"/>
      </c:catAx>
      <c:valAx>
        <c:axId val="175797940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.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20875807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[ecommerce_profitability_analysis.xlsx]State Analysis!PivotTable5</c:name>
    <c:fmtId val="1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N" sz="1400" b="0" i="0" u="none" strike="noStrike" baseline="0"/>
              <a:t>Sales and Profit by State</a:t>
            </a:r>
            <a:endParaRPr lang="en-IN"/>
          </a:p>
        </c:rich>
      </c:tx>
      <c:layout>
        <c:manualLayout>
          <c:xMode val="edge"/>
          <c:yMode val="edge"/>
          <c:x val="0.49587489063867018"/>
          <c:y val="4.5275590551181105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IN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'State Analysis'!$B$3</c:f>
              <c:strCache>
                <c:ptCount val="1"/>
                <c:pt idx="0">
                  <c:v>Sum of Sales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'State Analysis'!$A$4:$A$18</c:f>
              <c:strCache>
                <c:ptCount val="14"/>
                <c:pt idx="0">
                  <c:v>Bihar</c:v>
                </c:pt>
                <c:pt idx="1">
                  <c:v>Delhi</c:v>
                </c:pt>
                <c:pt idx="2">
                  <c:v>Gujarat</c:v>
                </c:pt>
                <c:pt idx="3">
                  <c:v>Karnataka</c:v>
                </c:pt>
                <c:pt idx="4">
                  <c:v>Kerala</c:v>
                </c:pt>
                <c:pt idx="5">
                  <c:v>Madhya Pradesh</c:v>
                </c:pt>
                <c:pt idx="6">
                  <c:v>Maharashtra</c:v>
                </c:pt>
                <c:pt idx="7">
                  <c:v>Odisha</c:v>
                </c:pt>
                <c:pt idx="8">
                  <c:v>Punjab</c:v>
                </c:pt>
                <c:pt idx="9">
                  <c:v>Rajasthan</c:v>
                </c:pt>
                <c:pt idx="10">
                  <c:v>Tamil Nadu</c:v>
                </c:pt>
                <c:pt idx="11">
                  <c:v>Telangana</c:v>
                </c:pt>
                <c:pt idx="12">
                  <c:v>Uttar Pradesh</c:v>
                </c:pt>
                <c:pt idx="13">
                  <c:v>West Bengal</c:v>
                </c:pt>
              </c:strCache>
            </c:strRef>
          </c:cat>
          <c:val>
            <c:numRef>
              <c:f>'State Analysis'!$B$4:$B$18</c:f>
              <c:numCache>
                <c:formatCode>#,##0.00</c:formatCode>
                <c:ptCount val="14"/>
                <c:pt idx="0">
                  <c:v>2278957.0499999998</c:v>
                </c:pt>
                <c:pt idx="1">
                  <c:v>2512176.6500000008</c:v>
                </c:pt>
                <c:pt idx="2">
                  <c:v>1252932.7999999998</c:v>
                </c:pt>
                <c:pt idx="3">
                  <c:v>730465.09999999974</c:v>
                </c:pt>
                <c:pt idx="4">
                  <c:v>1073438.8</c:v>
                </c:pt>
                <c:pt idx="5">
                  <c:v>1506320.9000000004</c:v>
                </c:pt>
                <c:pt idx="6">
                  <c:v>4218818.9000000004</c:v>
                </c:pt>
                <c:pt idx="7">
                  <c:v>914800.95000000007</c:v>
                </c:pt>
                <c:pt idx="8">
                  <c:v>699124.29999999981</c:v>
                </c:pt>
                <c:pt idx="9">
                  <c:v>755718.75</c:v>
                </c:pt>
                <c:pt idx="10">
                  <c:v>458240.75000000006</c:v>
                </c:pt>
                <c:pt idx="11">
                  <c:v>929908.50000000012</c:v>
                </c:pt>
                <c:pt idx="12">
                  <c:v>1369847.8000000003</c:v>
                </c:pt>
                <c:pt idx="13">
                  <c:v>2149315.0999999996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A41E-42E6-8995-63CA620FB2B1}"/>
            </c:ext>
          </c:extLst>
        </c:ser>
        <c:ser>
          <c:idx val="1"/>
          <c:order val="1"/>
          <c:tx>
            <c:strRef>
              <c:f>'State Analysis'!$C$3</c:f>
              <c:strCache>
                <c:ptCount val="1"/>
                <c:pt idx="0">
                  <c:v>Sum of Profit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'State Analysis'!$A$4:$A$18</c:f>
              <c:strCache>
                <c:ptCount val="14"/>
                <c:pt idx="0">
                  <c:v>Bihar</c:v>
                </c:pt>
                <c:pt idx="1">
                  <c:v>Delhi</c:v>
                </c:pt>
                <c:pt idx="2">
                  <c:v>Gujarat</c:v>
                </c:pt>
                <c:pt idx="3">
                  <c:v>Karnataka</c:v>
                </c:pt>
                <c:pt idx="4">
                  <c:v>Kerala</c:v>
                </c:pt>
                <c:pt idx="5">
                  <c:v>Madhya Pradesh</c:v>
                </c:pt>
                <c:pt idx="6">
                  <c:v>Maharashtra</c:v>
                </c:pt>
                <c:pt idx="7">
                  <c:v>Odisha</c:v>
                </c:pt>
                <c:pt idx="8">
                  <c:v>Punjab</c:v>
                </c:pt>
                <c:pt idx="9">
                  <c:v>Rajasthan</c:v>
                </c:pt>
                <c:pt idx="10">
                  <c:v>Tamil Nadu</c:v>
                </c:pt>
                <c:pt idx="11">
                  <c:v>Telangana</c:v>
                </c:pt>
                <c:pt idx="12">
                  <c:v>Uttar Pradesh</c:v>
                </c:pt>
                <c:pt idx="13">
                  <c:v>West Bengal</c:v>
                </c:pt>
              </c:strCache>
            </c:strRef>
          </c:cat>
          <c:val>
            <c:numRef>
              <c:f>'State Analysis'!$C$4:$C$18</c:f>
              <c:numCache>
                <c:formatCode>#,##0.00</c:formatCode>
                <c:ptCount val="14"/>
                <c:pt idx="0">
                  <c:v>18306.660000000014</c:v>
                </c:pt>
                <c:pt idx="1">
                  <c:v>20526.280000000006</c:v>
                </c:pt>
                <c:pt idx="2">
                  <c:v>75336.789999999994</c:v>
                </c:pt>
                <c:pt idx="3">
                  <c:v>60686.400000000016</c:v>
                </c:pt>
                <c:pt idx="4">
                  <c:v>52489.860000000008</c:v>
                </c:pt>
                <c:pt idx="5">
                  <c:v>87251.08</c:v>
                </c:pt>
                <c:pt idx="6">
                  <c:v>158370.25999999998</c:v>
                </c:pt>
                <c:pt idx="7">
                  <c:v>6486.3</c:v>
                </c:pt>
                <c:pt idx="8">
                  <c:v>21840.070000000003</c:v>
                </c:pt>
                <c:pt idx="9">
                  <c:v>33966.53</c:v>
                </c:pt>
                <c:pt idx="10">
                  <c:v>1485.7100000000009</c:v>
                </c:pt>
                <c:pt idx="11">
                  <c:v>11487.700000000004</c:v>
                </c:pt>
                <c:pt idx="12">
                  <c:v>47813.530000000006</c:v>
                </c:pt>
                <c:pt idx="13">
                  <c:v>79364.369999999981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A41E-42E6-8995-63CA620FB2B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076543679"/>
        <c:axId val="1758040367"/>
      </c:barChart>
      <c:catAx>
        <c:axId val="1076543679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58040367"/>
        <c:crosses val="autoZero"/>
        <c:auto val="1"/>
        <c:lblAlgn val="ctr"/>
        <c:lblOffset val="100"/>
        <c:noMultiLvlLbl val="0"/>
      </c:catAx>
      <c:valAx>
        <c:axId val="175804036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.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76543679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[ecommerce_profitability_analysis.xlsx]Payment Analysis!PivotTable7</c:name>
    <c:fmtId val="1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N" sz="1400" b="0" i="0" u="none" strike="noStrike" baseline="0"/>
              <a:t>Sales and Profit by Payment Method</a:t>
            </a:r>
            <a:endParaRPr lang="en-IN"/>
          </a:p>
        </c:rich>
      </c:tx>
      <c:layout>
        <c:manualLayout>
          <c:xMode val="edge"/>
          <c:yMode val="edge"/>
          <c:x val="0.31594444444444447"/>
          <c:y val="6.3794109069699623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IN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'Payment Analysis'!$B$3</c:f>
              <c:strCache>
                <c:ptCount val="1"/>
                <c:pt idx="0">
                  <c:v>Sum of Sales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'Payment Analysis'!$A$4:$A$10</c:f>
              <c:strCache>
                <c:ptCount val="6"/>
                <c:pt idx="0">
                  <c:v>Cash on Delivery</c:v>
                </c:pt>
                <c:pt idx="1">
                  <c:v>Credit Card</c:v>
                </c:pt>
                <c:pt idx="2">
                  <c:v>Debit Card</c:v>
                </c:pt>
                <c:pt idx="3">
                  <c:v>Net Banking</c:v>
                </c:pt>
                <c:pt idx="4">
                  <c:v>UPI</c:v>
                </c:pt>
                <c:pt idx="5">
                  <c:v>(blank)</c:v>
                </c:pt>
              </c:strCache>
            </c:strRef>
          </c:cat>
          <c:val>
            <c:numRef>
              <c:f>'Payment Analysis'!$B$4:$B$10</c:f>
              <c:numCache>
                <c:formatCode>#,##0.00</c:formatCode>
                <c:ptCount val="6"/>
                <c:pt idx="0">
                  <c:v>4290585.8499999996</c:v>
                </c:pt>
                <c:pt idx="1">
                  <c:v>5050213.4499999993</c:v>
                </c:pt>
                <c:pt idx="2">
                  <c:v>2554685.8499999996</c:v>
                </c:pt>
                <c:pt idx="3">
                  <c:v>925894.45000000007</c:v>
                </c:pt>
                <c:pt idx="4">
                  <c:v>7984688.7499999953</c:v>
                </c:pt>
                <c:pt idx="5">
                  <c:v>43998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A4FD-4189-9879-49959E64544A}"/>
            </c:ext>
          </c:extLst>
        </c:ser>
        <c:ser>
          <c:idx val="1"/>
          <c:order val="1"/>
          <c:tx>
            <c:strRef>
              <c:f>'Payment Analysis'!$C$3</c:f>
              <c:strCache>
                <c:ptCount val="1"/>
                <c:pt idx="0">
                  <c:v>Sum of Profit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'Payment Analysis'!$A$4:$A$10</c:f>
              <c:strCache>
                <c:ptCount val="6"/>
                <c:pt idx="0">
                  <c:v>Cash on Delivery</c:v>
                </c:pt>
                <c:pt idx="1">
                  <c:v>Credit Card</c:v>
                </c:pt>
                <c:pt idx="2">
                  <c:v>Debit Card</c:v>
                </c:pt>
                <c:pt idx="3">
                  <c:v>Net Banking</c:v>
                </c:pt>
                <c:pt idx="4">
                  <c:v>UPI</c:v>
                </c:pt>
                <c:pt idx="5">
                  <c:v>(blank)</c:v>
                </c:pt>
              </c:strCache>
            </c:strRef>
          </c:cat>
          <c:val>
            <c:numRef>
              <c:f>'Payment Analysis'!$C$4:$C$10</c:f>
              <c:numCache>
                <c:formatCode>#,##0.00</c:formatCode>
                <c:ptCount val="6"/>
                <c:pt idx="0">
                  <c:v>178705.64999999994</c:v>
                </c:pt>
                <c:pt idx="1">
                  <c:v>76195.449999999983</c:v>
                </c:pt>
                <c:pt idx="2">
                  <c:v>67239.090000000011</c:v>
                </c:pt>
                <c:pt idx="3">
                  <c:v>40649.760000000009</c:v>
                </c:pt>
                <c:pt idx="4">
                  <c:v>307821.59000000014</c:v>
                </c:pt>
                <c:pt idx="5">
                  <c:v>4800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A4FD-4189-9879-49959E64544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926838127"/>
        <c:axId val="1758008207"/>
      </c:barChart>
      <c:catAx>
        <c:axId val="1926838127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58008207"/>
        <c:crosses val="autoZero"/>
        <c:auto val="1"/>
        <c:lblAlgn val="ctr"/>
        <c:lblOffset val="100"/>
        <c:noMultiLvlLbl val="0"/>
      </c:catAx>
      <c:valAx>
        <c:axId val="175800820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.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26838127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[ecommerce_profitability_analysis.xlsx]Order Status Analysis!PivotTable8</c:name>
    <c:fmtId val="1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N" sz="1400" b="0" i="0" u="none" strike="noStrike" baseline="0"/>
              <a:t>Sales and Profit by Order Status</a:t>
            </a:r>
            <a:endParaRPr lang="en-IN"/>
          </a:p>
        </c:rich>
      </c:tx>
      <c:layout>
        <c:manualLayout>
          <c:xMode val="edge"/>
          <c:yMode val="edge"/>
          <c:x val="0.41484711286089243"/>
          <c:y val="6.3794109069699623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IN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'Order Status Analysis'!$B$3</c:f>
              <c:strCache>
                <c:ptCount val="1"/>
                <c:pt idx="0">
                  <c:v>Sum of Sales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'Order Status Analysis'!$A$4:$A$9</c:f>
              <c:strCache>
                <c:ptCount val="5"/>
                <c:pt idx="0">
                  <c:v>Cancelled</c:v>
                </c:pt>
                <c:pt idx="1">
                  <c:v>Delivered</c:v>
                </c:pt>
                <c:pt idx="2">
                  <c:v>Processing</c:v>
                </c:pt>
                <c:pt idx="3">
                  <c:v>Returned</c:v>
                </c:pt>
                <c:pt idx="4">
                  <c:v>Shipped</c:v>
                </c:pt>
              </c:strCache>
            </c:strRef>
          </c:cat>
          <c:val>
            <c:numRef>
              <c:f>'Order Status Analysis'!$B$4:$B$9</c:f>
              <c:numCache>
                <c:formatCode>#,##0.00</c:formatCode>
                <c:ptCount val="5"/>
                <c:pt idx="0">
                  <c:v>1392248.45</c:v>
                </c:pt>
                <c:pt idx="1">
                  <c:v>15426228.899999991</c:v>
                </c:pt>
                <c:pt idx="2">
                  <c:v>1146692.0500000003</c:v>
                </c:pt>
                <c:pt idx="3">
                  <c:v>1522745.3</c:v>
                </c:pt>
                <c:pt idx="4">
                  <c:v>1362151.6500000004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49CC-4EB3-8FA2-422C3BFCA0D5}"/>
            </c:ext>
          </c:extLst>
        </c:ser>
        <c:ser>
          <c:idx val="1"/>
          <c:order val="1"/>
          <c:tx>
            <c:strRef>
              <c:f>'Order Status Analysis'!$C$3</c:f>
              <c:strCache>
                <c:ptCount val="1"/>
                <c:pt idx="0">
                  <c:v>Sum of Profit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'Order Status Analysis'!$A$4:$A$9</c:f>
              <c:strCache>
                <c:ptCount val="5"/>
                <c:pt idx="0">
                  <c:v>Cancelled</c:v>
                </c:pt>
                <c:pt idx="1">
                  <c:v>Delivered</c:v>
                </c:pt>
                <c:pt idx="2">
                  <c:v>Processing</c:v>
                </c:pt>
                <c:pt idx="3">
                  <c:v>Returned</c:v>
                </c:pt>
                <c:pt idx="4">
                  <c:v>Shipped</c:v>
                </c:pt>
              </c:strCache>
            </c:strRef>
          </c:cat>
          <c:val>
            <c:numRef>
              <c:f>'Order Status Analysis'!$C$4:$C$9</c:f>
              <c:numCache>
                <c:formatCode>#,##0.00</c:formatCode>
                <c:ptCount val="5"/>
                <c:pt idx="0">
                  <c:v>0</c:v>
                </c:pt>
                <c:pt idx="1">
                  <c:v>759478.56999999948</c:v>
                </c:pt>
                <c:pt idx="2">
                  <c:v>49169.510000000009</c:v>
                </c:pt>
                <c:pt idx="3">
                  <c:v>-228411.7699999999</c:v>
                </c:pt>
                <c:pt idx="4">
                  <c:v>95175.23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49CC-4EB3-8FA2-422C3BFCA0D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926838591"/>
        <c:axId val="1757999087"/>
      </c:barChart>
      <c:catAx>
        <c:axId val="1926838591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57999087"/>
        <c:crosses val="autoZero"/>
        <c:auto val="1"/>
        <c:lblAlgn val="ctr"/>
        <c:lblOffset val="100"/>
        <c:noMultiLvlLbl val="0"/>
      </c:catAx>
      <c:valAx>
        <c:axId val="175799908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.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26838591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[ecommerce_profitability_analysis.xlsx]Category Analysis!PivotTable2</c:name>
    <c:fmtId val="8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N" sz="1400" b="0" i="0" u="none" strike="noStrike" baseline="0"/>
              <a:t>Sales and Profit by Category</a:t>
            </a:r>
            <a:endParaRPr lang="en-IN"/>
          </a:p>
        </c:rich>
      </c:tx>
      <c:layout>
        <c:manualLayout>
          <c:xMode val="edge"/>
          <c:yMode val="edge"/>
          <c:x val="0.52965966754155736"/>
          <c:y val="7.3053368328958895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IN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'Category Analysis'!$B$3</c:f>
              <c:strCache>
                <c:ptCount val="1"/>
                <c:pt idx="0">
                  <c:v>Sum of Sales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'Category Analysis'!$A$4:$A$9</c:f>
              <c:strCache>
                <c:ptCount val="5"/>
                <c:pt idx="0">
                  <c:v>Beauty &amp; Personal Care</c:v>
                </c:pt>
                <c:pt idx="1">
                  <c:v>Electronics</c:v>
                </c:pt>
                <c:pt idx="2">
                  <c:v>Fashion</c:v>
                </c:pt>
                <c:pt idx="3">
                  <c:v>Home &amp; Kitchen</c:v>
                </c:pt>
                <c:pt idx="4">
                  <c:v>Mobiles &amp; Accessories</c:v>
                </c:pt>
              </c:strCache>
            </c:strRef>
          </c:cat>
          <c:val>
            <c:numRef>
              <c:f>'Category Analysis'!$B$4:$B$9</c:f>
              <c:numCache>
                <c:formatCode>#,##0.00</c:formatCode>
                <c:ptCount val="5"/>
                <c:pt idx="0">
                  <c:v>213971.45000000004</c:v>
                </c:pt>
                <c:pt idx="1">
                  <c:v>8483634.0999999978</c:v>
                </c:pt>
                <c:pt idx="2">
                  <c:v>797995.14999999956</c:v>
                </c:pt>
                <c:pt idx="3">
                  <c:v>1848285.9000000008</c:v>
                </c:pt>
                <c:pt idx="4">
                  <c:v>9506179.7499999981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239C-4A01-BC9E-5081A80F6DB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471871967"/>
        <c:axId val="1758025967"/>
      </c:barChart>
      <c:lineChart>
        <c:grouping val="standard"/>
        <c:varyColors val="0"/>
        <c:ser>
          <c:idx val="1"/>
          <c:order val="1"/>
          <c:tx>
            <c:strRef>
              <c:f>'Category Analysis'!$C$3</c:f>
              <c:strCache>
                <c:ptCount val="1"/>
                <c:pt idx="0">
                  <c:v>Sum of Profit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strRef>
              <c:f>'Category Analysis'!$A$4:$A$9</c:f>
              <c:strCache>
                <c:ptCount val="5"/>
                <c:pt idx="0">
                  <c:v>Beauty &amp; Personal Care</c:v>
                </c:pt>
                <c:pt idx="1">
                  <c:v>Electronics</c:v>
                </c:pt>
                <c:pt idx="2">
                  <c:v>Fashion</c:v>
                </c:pt>
                <c:pt idx="3">
                  <c:v>Home &amp; Kitchen</c:v>
                </c:pt>
                <c:pt idx="4">
                  <c:v>Mobiles &amp; Accessories</c:v>
                </c:pt>
              </c:strCache>
            </c:strRef>
          </c:cat>
          <c:val>
            <c:numRef>
              <c:f>'Category Analysis'!$C$4:$C$9</c:f>
              <c:numCache>
                <c:formatCode>#,##0.00</c:formatCode>
                <c:ptCount val="5"/>
                <c:pt idx="0">
                  <c:v>49377.760000000009</c:v>
                </c:pt>
                <c:pt idx="1">
                  <c:v>241243.62000000002</c:v>
                </c:pt>
                <c:pt idx="2">
                  <c:v>80897.63</c:v>
                </c:pt>
                <c:pt idx="3">
                  <c:v>-67894.619999999952</c:v>
                </c:pt>
                <c:pt idx="4">
                  <c:v>371787.15000000008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239C-4A01-BC9E-5081A80F6DB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471871967"/>
        <c:axId val="1758025967"/>
      </c:lineChart>
      <c:catAx>
        <c:axId val="1471871967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58025967"/>
        <c:crosses val="autoZero"/>
        <c:auto val="1"/>
        <c:lblAlgn val="ctr"/>
        <c:lblOffset val="100"/>
        <c:noMultiLvlLbl val="0"/>
      </c:catAx>
      <c:valAx>
        <c:axId val="175802596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.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71871967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[ecommerce_profitability_analysis.xlsx]Product Analysis!PivotTable3</c:name>
    <c:fmtId val="6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N" sz="1400" b="0" i="0" u="none" strike="noStrike" baseline="0"/>
              <a:t>Top 10 Products by Sales</a:t>
            </a:r>
            <a:endParaRPr lang="en-IN"/>
          </a:p>
        </c:rich>
      </c:tx>
      <c:layout>
        <c:manualLayout>
          <c:xMode val="edge"/>
          <c:yMode val="edge"/>
          <c:x val="0.52827077865266847"/>
          <c:y val="5.4534849810440364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IN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'Product Analysis'!$B$3</c:f>
              <c:strCache>
                <c:ptCount val="1"/>
                <c:pt idx="0">
                  <c:v>Sum of Sales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'Product Analysis'!$A$4:$A$14</c:f>
              <c:strCache>
                <c:ptCount val="10"/>
                <c:pt idx="0">
                  <c:v>Canon EOS 1500D DSLR Camera</c:v>
                </c:pt>
                <c:pt idx="1">
                  <c:v>HP Pavilion 15 Core i5 Laptop</c:v>
                </c:pt>
                <c:pt idx="2">
                  <c:v>JBL Flip 6 Portable Bluetooth Speaker</c:v>
                </c:pt>
                <c:pt idx="3">
                  <c:v>OnePlus 11R 5G (128GB)</c:v>
                </c:pt>
                <c:pt idx="4">
                  <c:v>Philips Air Fryer HD9200</c:v>
                </c:pt>
                <c:pt idx="5">
                  <c:v>Pigeon 4-Burner Glass Top Gas Stove</c:v>
                </c:pt>
                <c:pt idx="6">
                  <c:v>Redmi Note 12 Pro 5G</c:v>
                </c:pt>
                <c:pt idx="7">
                  <c:v>Samsung Galaxy S23 5G</c:v>
                </c:pt>
                <c:pt idx="8">
                  <c:v>Sony Bravia 43-inch 4K LED TV</c:v>
                </c:pt>
                <c:pt idx="9">
                  <c:v>Wakefit Ergonomic Orthopedic Mattress</c:v>
                </c:pt>
              </c:strCache>
            </c:strRef>
          </c:cat>
          <c:val>
            <c:numRef>
              <c:f>'Product Analysis'!$B$4:$B$14</c:f>
              <c:numCache>
                <c:formatCode>General</c:formatCode>
                <c:ptCount val="10"/>
                <c:pt idx="0">
                  <c:v>2678962</c:v>
                </c:pt>
                <c:pt idx="1">
                  <c:v>2895223.5</c:v>
                </c:pt>
                <c:pt idx="2">
                  <c:v>516092.64999999985</c:v>
                </c:pt>
                <c:pt idx="3">
                  <c:v>3107922.3000000003</c:v>
                </c:pt>
                <c:pt idx="4">
                  <c:v>292779.94999999995</c:v>
                </c:pt>
                <c:pt idx="5">
                  <c:v>274491.14999999997</c:v>
                </c:pt>
                <c:pt idx="6">
                  <c:v>1346338.8</c:v>
                </c:pt>
                <c:pt idx="7">
                  <c:v>4761176.75</c:v>
                </c:pt>
                <c:pt idx="8">
                  <c:v>2261420</c:v>
                </c:pt>
                <c:pt idx="9">
                  <c:v>917426.6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9762-4E4D-9EC2-645A70F46E73}"/>
            </c:ext>
          </c:extLst>
        </c:ser>
        <c:ser>
          <c:idx val="1"/>
          <c:order val="1"/>
          <c:tx>
            <c:strRef>
              <c:f>'Product Analysis'!$C$3</c:f>
              <c:strCache>
                <c:ptCount val="1"/>
                <c:pt idx="0">
                  <c:v>Sum of Profit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'Product Analysis'!$A$4:$A$14</c:f>
              <c:strCache>
                <c:ptCount val="10"/>
                <c:pt idx="0">
                  <c:v>Canon EOS 1500D DSLR Camera</c:v>
                </c:pt>
                <c:pt idx="1">
                  <c:v>HP Pavilion 15 Core i5 Laptop</c:v>
                </c:pt>
                <c:pt idx="2">
                  <c:v>JBL Flip 6 Portable Bluetooth Speaker</c:v>
                </c:pt>
                <c:pt idx="3">
                  <c:v>OnePlus 11R 5G (128GB)</c:v>
                </c:pt>
                <c:pt idx="4">
                  <c:v>Philips Air Fryer HD9200</c:v>
                </c:pt>
                <c:pt idx="5">
                  <c:v>Pigeon 4-Burner Glass Top Gas Stove</c:v>
                </c:pt>
                <c:pt idx="6">
                  <c:v>Redmi Note 12 Pro 5G</c:v>
                </c:pt>
                <c:pt idx="7">
                  <c:v>Samsung Galaxy S23 5G</c:v>
                </c:pt>
                <c:pt idx="8">
                  <c:v>Sony Bravia 43-inch 4K LED TV</c:v>
                </c:pt>
                <c:pt idx="9">
                  <c:v>Wakefit Ergonomic Orthopedic Mattress</c:v>
                </c:pt>
              </c:strCache>
            </c:strRef>
          </c:cat>
          <c:val>
            <c:numRef>
              <c:f>'Product Analysis'!$C$4:$C$14</c:f>
              <c:numCache>
                <c:formatCode>General</c:formatCode>
                <c:ptCount val="10"/>
                <c:pt idx="0">
                  <c:v>44058.45</c:v>
                </c:pt>
                <c:pt idx="1">
                  <c:v>107499.75</c:v>
                </c:pt>
                <c:pt idx="2">
                  <c:v>30342.26</c:v>
                </c:pt>
                <c:pt idx="3">
                  <c:v>119404.93</c:v>
                </c:pt>
                <c:pt idx="4">
                  <c:v>29588.530000000002</c:v>
                </c:pt>
                <c:pt idx="5">
                  <c:v>33075.100000000006</c:v>
                </c:pt>
                <c:pt idx="6">
                  <c:v>30185.61</c:v>
                </c:pt>
                <c:pt idx="7">
                  <c:v>180342.91</c:v>
                </c:pt>
                <c:pt idx="8">
                  <c:v>37793.39</c:v>
                </c:pt>
                <c:pt idx="9">
                  <c:v>-158120.47999999998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9762-4E4D-9EC2-645A70F46E7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axId val="1921645375"/>
        <c:axId val="1758020687"/>
      </c:barChart>
      <c:catAx>
        <c:axId val="1921645375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58020687"/>
        <c:crosses val="autoZero"/>
        <c:auto val="1"/>
        <c:lblAlgn val="ctr"/>
        <c:lblOffset val="100"/>
        <c:noMultiLvlLbl val="0"/>
      </c:catAx>
      <c:valAx>
        <c:axId val="1758020687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21645375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[ecommerce_profitability_analysis.xlsx]Region Analysis!PivotTable4</c:name>
    <c:fmtId val="6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N" sz="1400" b="0" i="0" u="none" strike="noStrike" baseline="0"/>
              <a:t>Sales and Profit by Region</a:t>
            </a:r>
            <a:endParaRPr lang="en-IN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IN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'Region Analysis'!$B$3</c:f>
              <c:strCache>
                <c:ptCount val="1"/>
                <c:pt idx="0">
                  <c:v>Sum of Sales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'Region Analysis'!$A$4:$A$8</c:f>
              <c:strCache>
                <c:ptCount val="4"/>
                <c:pt idx="0">
                  <c:v>East</c:v>
                </c:pt>
                <c:pt idx="1">
                  <c:v>North</c:v>
                </c:pt>
                <c:pt idx="2">
                  <c:v>South</c:v>
                </c:pt>
                <c:pt idx="3">
                  <c:v>West</c:v>
                </c:pt>
              </c:strCache>
            </c:strRef>
          </c:cat>
          <c:val>
            <c:numRef>
              <c:f>'Region Analysis'!$B$4:$B$8</c:f>
              <c:numCache>
                <c:formatCode>#,##0.00</c:formatCode>
                <c:ptCount val="4"/>
                <c:pt idx="0">
                  <c:v>5343073.1000000015</c:v>
                </c:pt>
                <c:pt idx="1">
                  <c:v>5336867.4999999991</c:v>
                </c:pt>
                <c:pt idx="2">
                  <c:v>3192053.1500000004</c:v>
                </c:pt>
                <c:pt idx="3">
                  <c:v>6978072.5999999987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7340-420F-80D1-F682FB58ADF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920875807"/>
        <c:axId val="1757979407"/>
      </c:barChart>
      <c:lineChart>
        <c:grouping val="standard"/>
        <c:varyColors val="0"/>
        <c:ser>
          <c:idx val="1"/>
          <c:order val="1"/>
          <c:tx>
            <c:strRef>
              <c:f>'Region Analysis'!$C$3</c:f>
              <c:strCache>
                <c:ptCount val="1"/>
                <c:pt idx="0">
                  <c:v>Sum of Profit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strRef>
              <c:f>'Region Analysis'!$A$4:$A$8</c:f>
              <c:strCache>
                <c:ptCount val="4"/>
                <c:pt idx="0">
                  <c:v>East</c:v>
                </c:pt>
                <c:pt idx="1">
                  <c:v>North</c:v>
                </c:pt>
                <c:pt idx="2">
                  <c:v>South</c:v>
                </c:pt>
                <c:pt idx="3">
                  <c:v>West</c:v>
                </c:pt>
              </c:strCache>
            </c:strRef>
          </c:cat>
          <c:val>
            <c:numRef>
              <c:f>'Region Analysis'!$C$4:$C$8</c:f>
              <c:numCache>
                <c:formatCode>#,##0.00</c:formatCode>
                <c:ptCount val="4"/>
                <c:pt idx="0">
                  <c:v>104157.32999999999</c:v>
                </c:pt>
                <c:pt idx="1">
                  <c:v>124146.4099999999</c:v>
                </c:pt>
                <c:pt idx="2">
                  <c:v>126149.66999999998</c:v>
                </c:pt>
                <c:pt idx="3">
                  <c:v>320958.13000000012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7340-420F-80D1-F682FB58ADF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752518880"/>
        <c:axId val="546423536"/>
      </c:lineChart>
      <c:catAx>
        <c:axId val="1920875807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57979407"/>
        <c:crosses val="autoZero"/>
        <c:auto val="1"/>
        <c:lblAlgn val="ctr"/>
        <c:lblOffset val="100"/>
        <c:noMultiLvlLbl val="0"/>
      </c:catAx>
      <c:valAx>
        <c:axId val="175797940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.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20875807"/>
        <c:crosses val="autoZero"/>
        <c:crossBetween val="between"/>
      </c:valAx>
      <c:valAx>
        <c:axId val="546423536"/>
        <c:scaling>
          <c:orientation val="minMax"/>
        </c:scaling>
        <c:delete val="0"/>
        <c:axPos val="r"/>
        <c:numFmt formatCode="#,##0.00" sourceLinked="1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52518880"/>
        <c:crosses val="max"/>
        <c:crossBetween val="between"/>
      </c:valAx>
      <c:catAx>
        <c:axId val="752518880"/>
        <c:scaling>
          <c:orientation val="minMax"/>
        </c:scaling>
        <c:delete val="1"/>
        <c:axPos val="b"/>
        <c:numFmt formatCode="General" sourceLinked="1"/>
        <c:majorTickMark val="out"/>
        <c:minorTickMark val="none"/>
        <c:tickLblPos val="nextTo"/>
        <c:crossAx val="546423536"/>
        <c:auto val="1"/>
        <c:lblAlgn val="ctr"/>
        <c:lblOffset val="100"/>
        <c:noMultiLvlLbl val="0"/>
      </c:cat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1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[ecommerce_profitability_analysis.xlsx]State Analysis!PivotTable5</c:name>
    <c:fmtId val="6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N" sz="1400" b="0" i="0" u="none" strike="noStrike" baseline="0"/>
              <a:t>Sales and Profit by State</a:t>
            </a:r>
            <a:endParaRPr lang="en-IN"/>
          </a:p>
        </c:rich>
      </c:tx>
      <c:layout>
        <c:manualLayout>
          <c:xMode val="edge"/>
          <c:yMode val="edge"/>
          <c:x val="0.49587489063867018"/>
          <c:y val="4.5275590551181105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IN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'State Analysis'!$B$3</c:f>
              <c:strCache>
                <c:ptCount val="1"/>
                <c:pt idx="0">
                  <c:v>Sum of Sales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'State Analysis'!$A$4:$A$18</c:f>
              <c:strCache>
                <c:ptCount val="14"/>
                <c:pt idx="0">
                  <c:v>Bihar</c:v>
                </c:pt>
                <c:pt idx="1">
                  <c:v>Delhi</c:v>
                </c:pt>
                <c:pt idx="2">
                  <c:v>Gujarat</c:v>
                </c:pt>
                <c:pt idx="3">
                  <c:v>Karnataka</c:v>
                </c:pt>
                <c:pt idx="4">
                  <c:v>Kerala</c:v>
                </c:pt>
                <c:pt idx="5">
                  <c:v>Madhya Pradesh</c:v>
                </c:pt>
                <c:pt idx="6">
                  <c:v>Maharashtra</c:v>
                </c:pt>
                <c:pt idx="7">
                  <c:v>Odisha</c:v>
                </c:pt>
                <c:pt idx="8">
                  <c:v>Punjab</c:v>
                </c:pt>
                <c:pt idx="9">
                  <c:v>Rajasthan</c:v>
                </c:pt>
                <c:pt idx="10">
                  <c:v>Tamil Nadu</c:v>
                </c:pt>
                <c:pt idx="11">
                  <c:v>Telangana</c:v>
                </c:pt>
                <c:pt idx="12">
                  <c:v>Uttar Pradesh</c:v>
                </c:pt>
                <c:pt idx="13">
                  <c:v>West Bengal</c:v>
                </c:pt>
              </c:strCache>
            </c:strRef>
          </c:cat>
          <c:val>
            <c:numRef>
              <c:f>'State Analysis'!$B$4:$B$18</c:f>
              <c:numCache>
                <c:formatCode>#,##0.00</c:formatCode>
                <c:ptCount val="14"/>
                <c:pt idx="0">
                  <c:v>2278957.0499999998</c:v>
                </c:pt>
                <c:pt idx="1">
                  <c:v>2512176.6500000008</c:v>
                </c:pt>
                <c:pt idx="2">
                  <c:v>1252932.7999999998</c:v>
                </c:pt>
                <c:pt idx="3">
                  <c:v>730465.09999999974</c:v>
                </c:pt>
                <c:pt idx="4">
                  <c:v>1073438.8</c:v>
                </c:pt>
                <c:pt idx="5">
                  <c:v>1506320.9000000004</c:v>
                </c:pt>
                <c:pt idx="6">
                  <c:v>4218818.9000000004</c:v>
                </c:pt>
                <c:pt idx="7">
                  <c:v>914800.95000000007</c:v>
                </c:pt>
                <c:pt idx="8">
                  <c:v>699124.29999999981</c:v>
                </c:pt>
                <c:pt idx="9">
                  <c:v>755718.75</c:v>
                </c:pt>
                <c:pt idx="10">
                  <c:v>458240.75000000006</c:v>
                </c:pt>
                <c:pt idx="11">
                  <c:v>929908.50000000012</c:v>
                </c:pt>
                <c:pt idx="12">
                  <c:v>1369847.8000000003</c:v>
                </c:pt>
                <c:pt idx="13">
                  <c:v>2149315.0999999996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84A4-4B6C-B919-5C9D93321671}"/>
            </c:ext>
          </c:extLst>
        </c:ser>
        <c:ser>
          <c:idx val="1"/>
          <c:order val="1"/>
          <c:tx>
            <c:strRef>
              <c:f>'State Analysis'!$C$3</c:f>
              <c:strCache>
                <c:ptCount val="1"/>
                <c:pt idx="0">
                  <c:v>Sum of Profit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'State Analysis'!$A$4:$A$18</c:f>
              <c:strCache>
                <c:ptCount val="14"/>
                <c:pt idx="0">
                  <c:v>Bihar</c:v>
                </c:pt>
                <c:pt idx="1">
                  <c:v>Delhi</c:v>
                </c:pt>
                <c:pt idx="2">
                  <c:v>Gujarat</c:v>
                </c:pt>
                <c:pt idx="3">
                  <c:v>Karnataka</c:v>
                </c:pt>
                <c:pt idx="4">
                  <c:v>Kerala</c:v>
                </c:pt>
                <c:pt idx="5">
                  <c:v>Madhya Pradesh</c:v>
                </c:pt>
                <c:pt idx="6">
                  <c:v>Maharashtra</c:v>
                </c:pt>
                <c:pt idx="7">
                  <c:v>Odisha</c:v>
                </c:pt>
                <c:pt idx="8">
                  <c:v>Punjab</c:v>
                </c:pt>
                <c:pt idx="9">
                  <c:v>Rajasthan</c:v>
                </c:pt>
                <c:pt idx="10">
                  <c:v>Tamil Nadu</c:v>
                </c:pt>
                <c:pt idx="11">
                  <c:v>Telangana</c:v>
                </c:pt>
                <c:pt idx="12">
                  <c:v>Uttar Pradesh</c:v>
                </c:pt>
                <c:pt idx="13">
                  <c:v>West Bengal</c:v>
                </c:pt>
              </c:strCache>
            </c:strRef>
          </c:cat>
          <c:val>
            <c:numRef>
              <c:f>'State Analysis'!$C$4:$C$18</c:f>
              <c:numCache>
                <c:formatCode>#,##0.00</c:formatCode>
                <c:ptCount val="14"/>
                <c:pt idx="0">
                  <c:v>18306.660000000014</c:v>
                </c:pt>
                <c:pt idx="1">
                  <c:v>20526.280000000006</c:v>
                </c:pt>
                <c:pt idx="2">
                  <c:v>75336.789999999994</c:v>
                </c:pt>
                <c:pt idx="3">
                  <c:v>60686.400000000016</c:v>
                </c:pt>
                <c:pt idx="4">
                  <c:v>52489.860000000008</c:v>
                </c:pt>
                <c:pt idx="5">
                  <c:v>87251.08</c:v>
                </c:pt>
                <c:pt idx="6">
                  <c:v>158370.25999999998</c:v>
                </c:pt>
                <c:pt idx="7">
                  <c:v>6486.3</c:v>
                </c:pt>
                <c:pt idx="8">
                  <c:v>21840.070000000003</c:v>
                </c:pt>
                <c:pt idx="9">
                  <c:v>33966.53</c:v>
                </c:pt>
                <c:pt idx="10">
                  <c:v>1485.7100000000009</c:v>
                </c:pt>
                <c:pt idx="11">
                  <c:v>11487.700000000004</c:v>
                </c:pt>
                <c:pt idx="12">
                  <c:v>47813.530000000006</c:v>
                </c:pt>
                <c:pt idx="13">
                  <c:v>79364.369999999981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84A4-4B6C-B919-5C9D9332167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axId val="1076543679"/>
        <c:axId val="1758040367"/>
      </c:barChart>
      <c:catAx>
        <c:axId val="1076543679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58040367"/>
        <c:crosses val="autoZero"/>
        <c:auto val="1"/>
        <c:lblAlgn val="ctr"/>
        <c:lblOffset val="100"/>
        <c:noMultiLvlLbl val="0"/>
      </c:catAx>
      <c:valAx>
        <c:axId val="1758040367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.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76543679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1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[ecommerce_profitability_analysis.xlsx]Payment Analysis!PivotTable7</c:name>
    <c:fmtId val="6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N" sz="1400" b="0" i="0" u="none" strike="noStrike" baseline="0"/>
              <a:t>Sales and Profit by Payment Method</a:t>
            </a:r>
            <a:endParaRPr lang="en-IN"/>
          </a:p>
        </c:rich>
      </c:tx>
      <c:layout>
        <c:manualLayout>
          <c:xMode val="edge"/>
          <c:yMode val="edge"/>
          <c:x val="0.31594444444444447"/>
          <c:y val="6.3794109069699623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IN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'Payment Analysis'!$B$3</c:f>
              <c:strCache>
                <c:ptCount val="1"/>
                <c:pt idx="0">
                  <c:v>Sum of Sales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'Payment Analysis'!$A$4:$A$10</c:f>
              <c:strCache>
                <c:ptCount val="6"/>
                <c:pt idx="0">
                  <c:v>Cash on Delivery</c:v>
                </c:pt>
                <c:pt idx="1">
                  <c:v>Credit Card</c:v>
                </c:pt>
                <c:pt idx="2">
                  <c:v>Debit Card</c:v>
                </c:pt>
                <c:pt idx="3">
                  <c:v>Net Banking</c:v>
                </c:pt>
                <c:pt idx="4">
                  <c:v>UPI</c:v>
                </c:pt>
                <c:pt idx="5">
                  <c:v>(blank)</c:v>
                </c:pt>
              </c:strCache>
            </c:strRef>
          </c:cat>
          <c:val>
            <c:numRef>
              <c:f>'Payment Analysis'!$B$4:$B$10</c:f>
              <c:numCache>
                <c:formatCode>#,##0.00</c:formatCode>
                <c:ptCount val="6"/>
                <c:pt idx="0">
                  <c:v>4290585.8499999996</c:v>
                </c:pt>
                <c:pt idx="1">
                  <c:v>5050213.4499999993</c:v>
                </c:pt>
                <c:pt idx="2">
                  <c:v>2554685.8499999996</c:v>
                </c:pt>
                <c:pt idx="3">
                  <c:v>925894.45000000007</c:v>
                </c:pt>
                <c:pt idx="4">
                  <c:v>7984688.7499999953</c:v>
                </c:pt>
                <c:pt idx="5">
                  <c:v>43998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94DE-425F-AE3A-F34E67B2DF2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axId val="1926838127"/>
        <c:axId val="1758008207"/>
      </c:barChart>
      <c:lineChart>
        <c:grouping val="standard"/>
        <c:varyColors val="0"/>
        <c:ser>
          <c:idx val="1"/>
          <c:order val="1"/>
          <c:tx>
            <c:strRef>
              <c:f>'Payment Analysis'!$C$3</c:f>
              <c:strCache>
                <c:ptCount val="1"/>
                <c:pt idx="0">
                  <c:v>Sum of Profit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strRef>
              <c:f>'Payment Analysis'!$A$4:$A$10</c:f>
              <c:strCache>
                <c:ptCount val="6"/>
                <c:pt idx="0">
                  <c:v>Cash on Delivery</c:v>
                </c:pt>
                <c:pt idx="1">
                  <c:v>Credit Card</c:v>
                </c:pt>
                <c:pt idx="2">
                  <c:v>Debit Card</c:v>
                </c:pt>
                <c:pt idx="3">
                  <c:v>Net Banking</c:v>
                </c:pt>
                <c:pt idx="4">
                  <c:v>UPI</c:v>
                </c:pt>
                <c:pt idx="5">
                  <c:v>(blank)</c:v>
                </c:pt>
              </c:strCache>
            </c:strRef>
          </c:cat>
          <c:val>
            <c:numRef>
              <c:f>'Payment Analysis'!$C$4:$C$10</c:f>
              <c:numCache>
                <c:formatCode>#,##0.00</c:formatCode>
                <c:ptCount val="6"/>
                <c:pt idx="0">
                  <c:v>178705.64999999994</c:v>
                </c:pt>
                <c:pt idx="1">
                  <c:v>76195.449999999983</c:v>
                </c:pt>
                <c:pt idx="2">
                  <c:v>67239.090000000011</c:v>
                </c:pt>
                <c:pt idx="3">
                  <c:v>40649.760000000009</c:v>
                </c:pt>
                <c:pt idx="4">
                  <c:v>307821.59000000014</c:v>
                </c:pt>
                <c:pt idx="5">
                  <c:v>4800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94DE-425F-AE3A-F34E67B2DF2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504682960"/>
        <c:axId val="546387536"/>
      </c:lineChart>
      <c:catAx>
        <c:axId val="1926838127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58008207"/>
        <c:crosses val="autoZero"/>
        <c:auto val="1"/>
        <c:lblAlgn val="ctr"/>
        <c:lblOffset val="100"/>
        <c:noMultiLvlLbl val="0"/>
      </c:catAx>
      <c:valAx>
        <c:axId val="175800820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.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26838127"/>
        <c:crosses val="autoZero"/>
        <c:crossBetween val="between"/>
      </c:valAx>
      <c:valAx>
        <c:axId val="546387536"/>
        <c:scaling>
          <c:orientation val="minMax"/>
        </c:scaling>
        <c:delete val="0"/>
        <c:axPos val="r"/>
        <c:numFmt formatCode="#,##0.00" sourceLinked="1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04682960"/>
        <c:crosses val="max"/>
        <c:crossBetween val="between"/>
      </c:valAx>
      <c:catAx>
        <c:axId val="504682960"/>
        <c:scaling>
          <c:orientation val="minMax"/>
        </c:scaling>
        <c:delete val="1"/>
        <c:axPos val="b"/>
        <c:numFmt formatCode="General" sourceLinked="1"/>
        <c:majorTickMark val="out"/>
        <c:minorTickMark val="none"/>
        <c:tickLblPos val="nextTo"/>
        <c:crossAx val="546387536"/>
        <c:auto val="1"/>
        <c:lblAlgn val="ctr"/>
        <c:lblOffset val="100"/>
        <c:noMultiLvlLbl val="0"/>
      </c:cat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1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[ecommerce_profitability_analysis.xlsx]Order Status Analysis!PivotTable8</c:name>
    <c:fmtId val="6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N" sz="1400" b="0" i="0" u="none" strike="noStrike" baseline="0"/>
              <a:t>Sales and Profit by Order Status</a:t>
            </a:r>
            <a:endParaRPr lang="en-IN"/>
          </a:p>
        </c:rich>
      </c:tx>
      <c:layout>
        <c:manualLayout>
          <c:xMode val="edge"/>
          <c:yMode val="edge"/>
          <c:x val="0.41484711286089243"/>
          <c:y val="6.3794109069699623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IN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'Order Status Analysis'!$B$3</c:f>
              <c:strCache>
                <c:ptCount val="1"/>
                <c:pt idx="0">
                  <c:v>Sum of Sales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'Order Status Analysis'!$A$4:$A$9</c:f>
              <c:strCache>
                <c:ptCount val="5"/>
                <c:pt idx="0">
                  <c:v>Cancelled</c:v>
                </c:pt>
                <c:pt idx="1">
                  <c:v>Delivered</c:v>
                </c:pt>
                <c:pt idx="2">
                  <c:v>Processing</c:v>
                </c:pt>
                <c:pt idx="3">
                  <c:v>Returned</c:v>
                </c:pt>
                <c:pt idx="4">
                  <c:v>Shipped</c:v>
                </c:pt>
              </c:strCache>
            </c:strRef>
          </c:cat>
          <c:val>
            <c:numRef>
              <c:f>'Order Status Analysis'!$B$4:$B$9</c:f>
              <c:numCache>
                <c:formatCode>#,##0.00</c:formatCode>
                <c:ptCount val="5"/>
                <c:pt idx="0">
                  <c:v>1392248.45</c:v>
                </c:pt>
                <c:pt idx="1">
                  <c:v>15426228.899999991</c:v>
                </c:pt>
                <c:pt idx="2">
                  <c:v>1146692.0500000003</c:v>
                </c:pt>
                <c:pt idx="3">
                  <c:v>1522745.3</c:v>
                </c:pt>
                <c:pt idx="4">
                  <c:v>1362151.6500000004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E835-452D-A21C-B20B519ED5C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axId val="1926838591"/>
        <c:axId val="1757999087"/>
      </c:barChart>
      <c:lineChart>
        <c:grouping val="standard"/>
        <c:varyColors val="0"/>
        <c:ser>
          <c:idx val="1"/>
          <c:order val="1"/>
          <c:tx>
            <c:strRef>
              <c:f>'Order Status Analysis'!$C$3</c:f>
              <c:strCache>
                <c:ptCount val="1"/>
                <c:pt idx="0">
                  <c:v>Sum of Profit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strRef>
              <c:f>'Order Status Analysis'!$A$4:$A$9</c:f>
              <c:strCache>
                <c:ptCount val="5"/>
                <c:pt idx="0">
                  <c:v>Cancelled</c:v>
                </c:pt>
                <c:pt idx="1">
                  <c:v>Delivered</c:v>
                </c:pt>
                <c:pt idx="2">
                  <c:v>Processing</c:v>
                </c:pt>
                <c:pt idx="3">
                  <c:v>Returned</c:v>
                </c:pt>
                <c:pt idx="4">
                  <c:v>Shipped</c:v>
                </c:pt>
              </c:strCache>
            </c:strRef>
          </c:cat>
          <c:val>
            <c:numRef>
              <c:f>'Order Status Analysis'!$C$4:$C$9</c:f>
              <c:numCache>
                <c:formatCode>#,##0.00</c:formatCode>
                <c:ptCount val="5"/>
                <c:pt idx="0">
                  <c:v>0</c:v>
                </c:pt>
                <c:pt idx="1">
                  <c:v>759478.56999999948</c:v>
                </c:pt>
                <c:pt idx="2">
                  <c:v>49169.510000000009</c:v>
                </c:pt>
                <c:pt idx="3">
                  <c:v>-228411.7699999999</c:v>
                </c:pt>
                <c:pt idx="4">
                  <c:v>95175.23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E835-452D-A21C-B20B519ED5C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752570848"/>
        <c:axId val="546382736"/>
      </c:lineChart>
      <c:catAx>
        <c:axId val="1926838591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57999087"/>
        <c:crosses val="autoZero"/>
        <c:auto val="1"/>
        <c:lblAlgn val="ctr"/>
        <c:lblOffset val="100"/>
        <c:noMultiLvlLbl val="0"/>
      </c:catAx>
      <c:valAx>
        <c:axId val="175799908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.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26838591"/>
        <c:crosses val="autoZero"/>
        <c:crossBetween val="between"/>
      </c:valAx>
      <c:valAx>
        <c:axId val="546382736"/>
        <c:scaling>
          <c:orientation val="minMax"/>
        </c:scaling>
        <c:delete val="0"/>
        <c:axPos val="r"/>
        <c:numFmt formatCode="#,##0.00" sourceLinked="1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52570848"/>
        <c:crosses val="max"/>
        <c:crossBetween val="between"/>
      </c:valAx>
      <c:catAx>
        <c:axId val="752570848"/>
        <c:scaling>
          <c:orientation val="minMax"/>
        </c:scaling>
        <c:delete val="1"/>
        <c:axPos val="b"/>
        <c:numFmt formatCode="General" sourceLinked="1"/>
        <c:majorTickMark val="out"/>
        <c:minorTickMark val="none"/>
        <c:tickLblPos val="nextTo"/>
        <c:crossAx val="546382736"/>
        <c:auto val="1"/>
        <c:lblAlgn val="ctr"/>
        <c:lblOffset val="100"/>
        <c:noMultiLvlLbl val="0"/>
      </c:cat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1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[ecommerce_profitability_analysis.xlsx]Monthly Analysis!PivotTable1</c:name>
    <c:fmtId val="22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N" sz="1400" b="0" i="0" u="none" strike="noStrike" baseline="0"/>
              <a:t>Monthly Sales and Profit — 2023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'Monthly Analysis'!$B$3</c:f>
              <c:strCache>
                <c:ptCount val="1"/>
                <c:pt idx="0">
                  <c:v>Sum of Sales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'Monthly Analysis'!$A$4:$A$16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'Monthly Analysis'!$B$4:$B$16</c:f>
              <c:numCache>
                <c:formatCode>#,##0.00</c:formatCode>
                <c:ptCount val="12"/>
                <c:pt idx="0">
                  <c:v>2202539.1999999997</c:v>
                </c:pt>
                <c:pt idx="1">
                  <c:v>1056160.2999999998</c:v>
                </c:pt>
                <c:pt idx="2">
                  <c:v>1844680.1500000004</c:v>
                </c:pt>
                <c:pt idx="3">
                  <c:v>1848171.8000000003</c:v>
                </c:pt>
                <c:pt idx="4">
                  <c:v>2452825.9000000004</c:v>
                </c:pt>
                <c:pt idx="5">
                  <c:v>1235256.6499999999</c:v>
                </c:pt>
                <c:pt idx="6">
                  <c:v>1179415.4500000002</c:v>
                </c:pt>
                <c:pt idx="7">
                  <c:v>1351845.9500000002</c:v>
                </c:pt>
                <c:pt idx="8">
                  <c:v>1906323.8999999997</c:v>
                </c:pt>
                <c:pt idx="9">
                  <c:v>1691622.2499999998</c:v>
                </c:pt>
                <c:pt idx="10">
                  <c:v>1773905.5999999996</c:v>
                </c:pt>
                <c:pt idx="11">
                  <c:v>2307319.2000000007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CC8D-4E49-A0FA-77772D7E1A0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749022223"/>
        <c:axId val="1757993327"/>
      </c:barChart>
      <c:lineChart>
        <c:grouping val="standard"/>
        <c:varyColors val="0"/>
        <c:ser>
          <c:idx val="1"/>
          <c:order val="1"/>
          <c:tx>
            <c:strRef>
              <c:f>'Monthly Analysis'!$C$3</c:f>
              <c:strCache>
                <c:ptCount val="1"/>
                <c:pt idx="0">
                  <c:v>Sum of Profit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strRef>
              <c:f>'Monthly Analysis'!$A$4:$A$16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'Monthly Analysis'!$C$4:$C$16</c:f>
              <c:numCache>
                <c:formatCode>#,##0.00</c:formatCode>
                <c:ptCount val="12"/>
                <c:pt idx="0">
                  <c:v>70941.45</c:v>
                </c:pt>
                <c:pt idx="1">
                  <c:v>48880.780000000006</c:v>
                </c:pt>
                <c:pt idx="2">
                  <c:v>64036.720000000008</c:v>
                </c:pt>
                <c:pt idx="3">
                  <c:v>84200.76</c:v>
                </c:pt>
                <c:pt idx="4">
                  <c:v>101518.00000000001</c:v>
                </c:pt>
                <c:pt idx="5">
                  <c:v>53522.55000000001</c:v>
                </c:pt>
                <c:pt idx="6">
                  <c:v>66723.739999999991</c:v>
                </c:pt>
                <c:pt idx="7">
                  <c:v>21128.270000000008</c:v>
                </c:pt>
                <c:pt idx="8">
                  <c:v>72255.090000000011</c:v>
                </c:pt>
                <c:pt idx="9">
                  <c:v>35963.640000000021</c:v>
                </c:pt>
                <c:pt idx="10">
                  <c:v>7628.2400000000025</c:v>
                </c:pt>
                <c:pt idx="11">
                  <c:v>48612.30000000001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CC8D-4E49-A0FA-77772D7E1A0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504695024"/>
        <c:axId val="546354896"/>
      </c:lineChart>
      <c:catAx>
        <c:axId val="1749022223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57993327"/>
        <c:crosses val="autoZero"/>
        <c:auto val="1"/>
        <c:lblAlgn val="ctr"/>
        <c:lblOffset val="100"/>
        <c:noMultiLvlLbl val="0"/>
      </c:catAx>
      <c:valAx>
        <c:axId val="175799332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.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49022223"/>
        <c:crosses val="autoZero"/>
        <c:crossBetween val="between"/>
      </c:valAx>
      <c:valAx>
        <c:axId val="546354896"/>
        <c:scaling>
          <c:orientation val="minMax"/>
        </c:scaling>
        <c:delete val="0"/>
        <c:axPos val="r"/>
        <c:numFmt formatCode="#,##0.00" sourceLinked="1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04695024"/>
        <c:crosses val="max"/>
        <c:crossBetween val="between"/>
      </c:valAx>
      <c:catAx>
        <c:axId val="504695024"/>
        <c:scaling>
          <c:orientation val="minMax"/>
        </c:scaling>
        <c:delete val="1"/>
        <c:axPos val="b"/>
        <c:numFmt formatCode="General" sourceLinked="1"/>
        <c:majorTickMark val="out"/>
        <c:minorTickMark val="none"/>
        <c:tickLblPos val="nextTo"/>
        <c:crossAx val="546354896"/>
        <c:auto val="1"/>
        <c:lblAlgn val="ctr"/>
        <c:lblOffset val="100"/>
        <c:noMultiLvlLbl val="0"/>
      </c:cat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0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8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9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0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2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3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4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.xml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chart" Target="../charts/chart4.xml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chart" Target="../charts/chart5.xml"/></Relationships>
</file>

<file path=xl/drawings/_rels/drawing6.xml.rels><?xml version="1.0" encoding="UTF-8" standalone="yes"?>
<Relationships xmlns="http://schemas.openxmlformats.org/package/2006/relationships"><Relationship Id="rId1" Type="http://schemas.openxmlformats.org/officeDocument/2006/relationships/chart" Target="../charts/chart6.xml"/></Relationships>
</file>

<file path=xl/drawings/_rels/drawing7.xml.rels><?xml version="1.0" encoding="UTF-8" standalone="yes"?>
<Relationships xmlns="http://schemas.openxmlformats.org/package/2006/relationships"><Relationship Id="rId1" Type="http://schemas.openxmlformats.org/officeDocument/2006/relationships/chart" Target="../charts/chart7.xml"/></Relationships>
</file>

<file path=xl/drawings/_rels/drawing8.xml.rels><?xml version="1.0" encoding="UTF-8" standalone="yes"?>
<Relationships xmlns="http://schemas.openxmlformats.org/package/2006/relationships"><Relationship Id="rId3" Type="http://schemas.openxmlformats.org/officeDocument/2006/relationships/chart" Target="../charts/chart10.xml"/><Relationship Id="rId7" Type="http://schemas.openxmlformats.org/officeDocument/2006/relationships/chart" Target="../charts/chart14.xml"/><Relationship Id="rId2" Type="http://schemas.openxmlformats.org/officeDocument/2006/relationships/chart" Target="../charts/chart9.xml"/><Relationship Id="rId1" Type="http://schemas.openxmlformats.org/officeDocument/2006/relationships/chart" Target="../charts/chart8.xml"/><Relationship Id="rId6" Type="http://schemas.openxmlformats.org/officeDocument/2006/relationships/chart" Target="../charts/chart13.xml"/><Relationship Id="rId5" Type="http://schemas.openxmlformats.org/officeDocument/2006/relationships/chart" Target="../charts/chart12.xml"/><Relationship Id="rId4" Type="http://schemas.openxmlformats.org/officeDocument/2006/relationships/chart" Target="../charts/chart1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586740</xdr:colOff>
      <xdr:row>1</xdr:row>
      <xdr:rowOff>129540</xdr:rowOff>
    </xdr:from>
    <xdr:to>
      <xdr:col>15</xdr:col>
      <xdr:colOff>259080</xdr:colOff>
      <xdr:row>16</xdr:row>
      <xdr:rowOff>99060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181303CE-FB72-0CA3-6402-49CEC84D731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327660</xdr:colOff>
      <xdr:row>1</xdr:row>
      <xdr:rowOff>22860</xdr:rowOff>
    </xdr:from>
    <xdr:to>
      <xdr:col>14</xdr:col>
      <xdr:colOff>205740</xdr:colOff>
      <xdr:row>20</xdr:row>
      <xdr:rowOff>76200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3877EAA2-CF84-8109-CF60-8FC67B310971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22860</xdr:colOff>
      <xdr:row>0</xdr:row>
      <xdr:rowOff>41910</xdr:rowOff>
    </xdr:from>
    <xdr:to>
      <xdr:col>14</xdr:col>
      <xdr:colOff>38100</xdr:colOff>
      <xdr:row>20</xdr:row>
      <xdr:rowOff>137160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C59CB39B-FE37-9B32-69F0-BDEE7FBE0E69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10</xdr:col>
      <xdr:colOff>533400</xdr:colOff>
      <xdr:row>0</xdr:row>
      <xdr:rowOff>57150</xdr:rowOff>
    </xdr:from>
    <xdr:to>
      <xdr:col>20</xdr:col>
      <xdr:colOff>220980</xdr:colOff>
      <xdr:row>19</xdr:row>
      <xdr:rowOff>38100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329A9CBD-9415-D320-1B30-A1CE7DBF876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403860</xdr:colOff>
      <xdr:row>0</xdr:row>
      <xdr:rowOff>26670</xdr:rowOff>
    </xdr:from>
    <xdr:to>
      <xdr:col>15</xdr:col>
      <xdr:colOff>510540</xdr:colOff>
      <xdr:row>20</xdr:row>
      <xdr:rowOff>38100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2C1A4DDE-9D87-FDD2-9773-B627EF0A44C8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388620</xdr:colOff>
      <xdr:row>0</xdr:row>
      <xdr:rowOff>0</xdr:rowOff>
    </xdr:from>
    <xdr:to>
      <xdr:col>15</xdr:col>
      <xdr:colOff>556260</xdr:colOff>
      <xdr:row>20</xdr:row>
      <xdr:rowOff>22860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89BD8496-5ABF-36AE-2C64-B96019DBF3B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381000</xdr:colOff>
      <xdr:row>0</xdr:row>
      <xdr:rowOff>34290</xdr:rowOff>
    </xdr:from>
    <xdr:to>
      <xdr:col>16</xdr:col>
      <xdr:colOff>228600</xdr:colOff>
      <xdr:row>21</xdr:row>
      <xdr:rowOff>45720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224CA043-5CBF-7C98-076C-27AB7314ACF7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 editAs="absolute">
    <xdr:from>
      <xdr:col>8</xdr:col>
      <xdr:colOff>0</xdr:colOff>
      <xdr:row>9</xdr:row>
      <xdr:rowOff>0</xdr:rowOff>
    </xdr:from>
    <xdr:to>
      <xdr:col>20</xdr:col>
      <xdr:colOff>90000</xdr:colOff>
      <xdr:row>26</xdr:row>
      <xdr:rowOff>30240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B0A4647D-8F30-407B-BF82-67FD88543BEB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absolute">
    <xdr:from>
      <xdr:col>0</xdr:col>
      <xdr:colOff>11906</xdr:colOff>
      <xdr:row>26</xdr:row>
      <xdr:rowOff>43339</xdr:rowOff>
    </xdr:from>
    <xdr:to>
      <xdr:col>8</xdr:col>
      <xdr:colOff>11418</xdr:colOff>
      <xdr:row>43</xdr:row>
      <xdr:rowOff>146445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EFCD0CB4-9774-4E47-B2FC-70D2D50F876A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 editAs="absolute">
    <xdr:from>
      <xdr:col>7</xdr:col>
      <xdr:colOff>590071</xdr:colOff>
      <xdr:row>26</xdr:row>
      <xdr:rowOff>33338</xdr:rowOff>
    </xdr:from>
    <xdr:to>
      <xdr:col>20</xdr:col>
      <xdr:colOff>101427</xdr:colOff>
      <xdr:row>43</xdr:row>
      <xdr:rowOff>136444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0837E6BB-A540-4908-814E-373C0EB3B3D7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 editAs="absolute">
    <xdr:from>
      <xdr:col>0</xdr:col>
      <xdr:colOff>11907</xdr:colOff>
      <xdr:row>43</xdr:row>
      <xdr:rowOff>141923</xdr:rowOff>
    </xdr:from>
    <xdr:to>
      <xdr:col>8</xdr:col>
      <xdr:colOff>11419</xdr:colOff>
      <xdr:row>61</xdr:row>
      <xdr:rowOff>66436</xdr:rowOff>
    </xdr:to>
    <xdr:graphicFrame macro="">
      <xdr:nvGraphicFramePr>
        <xdr:cNvPr id="6" name="Chart 5">
          <a:extLst>
            <a:ext uri="{FF2B5EF4-FFF2-40B4-BE49-F238E27FC236}">
              <a16:creationId xmlns:a16="http://schemas.microsoft.com/office/drawing/2014/main" id="{3A5E6BE3-CC6F-4FA4-A96E-5FC3498FA498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 editAs="absolute">
    <xdr:from>
      <xdr:col>8</xdr:col>
      <xdr:colOff>10953</xdr:colOff>
      <xdr:row>43</xdr:row>
      <xdr:rowOff>148589</xdr:rowOff>
    </xdr:from>
    <xdr:to>
      <xdr:col>20</xdr:col>
      <xdr:colOff>129528</xdr:colOff>
      <xdr:row>61</xdr:row>
      <xdr:rowOff>73102</xdr:rowOff>
    </xdr:to>
    <xdr:graphicFrame macro="">
      <xdr:nvGraphicFramePr>
        <xdr:cNvPr id="7" name="Chart 6">
          <a:extLst>
            <a:ext uri="{FF2B5EF4-FFF2-40B4-BE49-F238E27FC236}">
              <a16:creationId xmlns:a16="http://schemas.microsoft.com/office/drawing/2014/main" id="{A09448F6-2AFC-46A0-BE75-79D204F42ED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 editAs="absolute">
    <xdr:from>
      <xdr:col>0</xdr:col>
      <xdr:colOff>0</xdr:colOff>
      <xdr:row>61</xdr:row>
      <xdr:rowOff>72867</xdr:rowOff>
    </xdr:from>
    <xdr:to>
      <xdr:col>7</xdr:col>
      <xdr:colOff>606731</xdr:colOff>
      <xdr:row>78</xdr:row>
      <xdr:rowOff>175973</xdr:rowOff>
    </xdr:to>
    <xdr:graphicFrame macro="">
      <xdr:nvGraphicFramePr>
        <xdr:cNvPr id="8" name="Chart 7">
          <a:extLst>
            <a:ext uri="{FF2B5EF4-FFF2-40B4-BE49-F238E27FC236}">
              <a16:creationId xmlns:a16="http://schemas.microsoft.com/office/drawing/2014/main" id="{6D1016F9-77A5-4417-A9C0-EF2F0A3B1271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  <xdr:twoCellAnchor editAs="absolute">
    <xdr:from>
      <xdr:col>0</xdr:col>
      <xdr:colOff>0</xdr:colOff>
      <xdr:row>9</xdr:row>
      <xdr:rowOff>0</xdr:rowOff>
    </xdr:from>
    <xdr:to>
      <xdr:col>7</xdr:col>
      <xdr:colOff>601980</xdr:colOff>
      <xdr:row>26</xdr:row>
      <xdr:rowOff>30480</xdr:rowOff>
    </xdr:to>
    <xdr:graphicFrame macro="">
      <xdr:nvGraphicFramePr>
        <xdr:cNvPr id="9" name="Chart 8">
          <a:extLst>
            <a:ext uri="{FF2B5EF4-FFF2-40B4-BE49-F238E27FC236}">
              <a16:creationId xmlns:a16="http://schemas.microsoft.com/office/drawing/2014/main" id="{5454CC98-9366-4A6E-A445-00EEABB108EC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7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Satyavati Nelwade" refreshedDate="46320.802459722225" createdVersion="8" refreshedVersion="8" minRefreshableVersion="3" recordCount="850" xr:uid="{C5813B24-2D1A-4955-856F-B8A184B406A1}">
  <cacheSource type="worksheet">
    <worksheetSource name="SalesData"/>
  </cacheSource>
  <cacheFields count="16">
    <cacheField name="Order ID" numFmtId="0">
      <sharedItems/>
    </cacheField>
    <cacheField name="Order Date" numFmtId="14">
      <sharedItems containsSemiMixedTypes="0" containsNonDate="0" containsDate="1" containsString="0" minDate="2023-01-01T00:00:00" maxDate="2024-01-01T00:00:00" count="329">
        <d v="2023-03-08T00:00:00"/>
        <d v="2023-06-03T00:00:00"/>
        <d v="2023-02-13T00:00:00"/>
        <d v="2023-04-20T00:00:00"/>
        <d v="2023-11-29T00:00:00"/>
        <d v="2023-10-16T00:00:00"/>
        <d v="2023-01-06T00:00:00"/>
        <d v="2023-10-27T00:00:00"/>
        <d v="2023-11-11T00:00:00"/>
        <d v="2023-11-27T00:00:00"/>
        <d v="2023-01-15T00:00:00"/>
        <d v="2023-04-05T00:00:00"/>
        <d v="2023-01-16T00:00:00"/>
        <d v="2023-02-06T00:00:00"/>
        <d v="2023-09-14T00:00:00"/>
        <d v="2023-11-25T00:00:00"/>
        <d v="2023-08-31T00:00:00"/>
        <d v="2023-12-07T00:00:00"/>
        <d v="2023-10-07T00:00:00"/>
        <d v="2023-11-19T00:00:00"/>
        <d v="2023-10-14T00:00:00"/>
        <d v="2023-01-26T00:00:00"/>
        <d v="2023-12-22T00:00:00"/>
        <d v="2023-04-24T00:00:00"/>
        <d v="2023-04-02T00:00:00"/>
        <d v="2023-01-04T00:00:00"/>
        <d v="2023-09-18T00:00:00"/>
        <d v="2023-10-19T00:00:00"/>
        <d v="2023-06-15T00:00:00"/>
        <d v="2023-07-31T00:00:00"/>
        <d v="2023-07-30T00:00:00"/>
        <d v="2023-10-21T00:00:00"/>
        <d v="2023-07-01T00:00:00"/>
        <d v="2023-11-24T00:00:00"/>
        <d v="2023-05-13T00:00:00"/>
        <d v="2023-12-23T00:00:00"/>
        <d v="2023-03-09T00:00:00"/>
        <d v="2023-08-05T00:00:00"/>
        <d v="2023-10-26T00:00:00"/>
        <d v="2023-06-21T00:00:00"/>
        <d v="2023-08-16T00:00:00"/>
        <d v="2023-03-22T00:00:00"/>
        <d v="2023-04-06T00:00:00"/>
        <d v="2023-08-22T00:00:00"/>
        <d v="2023-05-16T00:00:00"/>
        <d v="2023-10-17T00:00:00"/>
        <d v="2023-08-15T00:00:00"/>
        <d v="2023-12-28T00:00:00"/>
        <d v="2023-04-08T00:00:00"/>
        <d v="2023-05-21T00:00:00"/>
        <d v="2023-06-25T00:00:00"/>
        <d v="2023-06-06T00:00:00"/>
        <d v="2023-03-24T00:00:00"/>
        <d v="2023-11-12T00:00:00"/>
        <d v="2023-08-08T00:00:00"/>
        <d v="2023-05-26T00:00:00"/>
        <d v="2023-05-12T00:00:00"/>
        <d v="2023-05-23T00:00:00"/>
        <d v="2023-11-07T00:00:00"/>
        <d v="2023-11-20T00:00:00"/>
        <d v="2023-11-15T00:00:00"/>
        <d v="2023-11-06T00:00:00"/>
        <d v="2023-09-08T00:00:00"/>
        <d v="2023-03-03T00:00:00"/>
        <d v="2023-03-26T00:00:00"/>
        <d v="2023-10-04T00:00:00"/>
        <d v="2023-01-14T00:00:00"/>
        <d v="2023-06-28T00:00:00"/>
        <d v="2023-07-02T00:00:00"/>
        <d v="2023-03-11T00:00:00"/>
        <d v="2023-11-26T00:00:00"/>
        <d v="2023-10-30T00:00:00"/>
        <d v="2023-02-12T00:00:00"/>
        <d v="2023-07-20T00:00:00"/>
        <d v="2023-08-24T00:00:00"/>
        <d v="2023-12-10T00:00:00"/>
        <d v="2023-01-12T00:00:00"/>
        <d v="2023-04-21T00:00:00"/>
        <d v="2023-09-03T00:00:00"/>
        <d v="2023-04-03T00:00:00"/>
        <d v="2023-01-11T00:00:00"/>
        <d v="2023-07-21T00:00:00"/>
        <d v="2023-08-21T00:00:00"/>
        <d v="2023-02-01T00:00:00"/>
        <d v="2023-11-04T00:00:00"/>
        <d v="2023-03-30T00:00:00"/>
        <d v="2023-12-01T00:00:00"/>
        <d v="2023-05-09T00:00:00"/>
        <d v="2023-01-28T00:00:00"/>
        <d v="2023-05-25T00:00:00"/>
        <d v="2023-07-03T00:00:00"/>
        <d v="2023-10-05T00:00:00"/>
        <d v="2023-07-16T00:00:00"/>
        <d v="2023-05-06T00:00:00"/>
        <d v="2023-12-11T00:00:00"/>
        <d v="2023-12-05T00:00:00"/>
        <d v="2023-04-28T00:00:00"/>
        <d v="2023-07-15T00:00:00"/>
        <d v="2023-09-28T00:00:00"/>
        <d v="2023-12-12T00:00:00"/>
        <d v="2023-03-20T00:00:00"/>
        <d v="2023-08-14T00:00:00"/>
        <d v="2023-03-17T00:00:00"/>
        <d v="2023-07-06T00:00:00"/>
        <d v="2023-04-12T00:00:00"/>
        <d v="2023-09-19T00:00:00"/>
        <d v="2023-11-14T00:00:00"/>
        <d v="2023-05-04T00:00:00"/>
        <d v="2023-11-30T00:00:00"/>
        <d v="2023-10-09T00:00:00"/>
        <d v="2023-09-06T00:00:00"/>
        <d v="2023-05-05T00:00:00"/>
        <d v="2023-09-05T00:00:00"/>
        <d v="2023-03-01T00:00:00"/>
        <d v="2023-09-23T00:00:00"/>
        <d v="2023-02-09T00:00:00"/>
        <d v="2023-03-15T00:00:00"/>
        <d v="2023-12-21T00:00:00"/>
        <d v="2023-04-18T00:00:00"/>
        <d v="2023-12-08T00:00:00"/>
        <d v="2023-08-20T00:00:00"/>
        <d v="2023-11-18T00:00:00"/>
        <d v="2023-02-03T00:00:00"/>
        <d v="2023-06-17T00:00:00"/>
        <d v="2023-11-10T00:00:00"/>
        <d v="2023-07-08T00:00:00"/>
        <d v="2023-11-28T00:00:00"/>
        <d v="2023-03-04T00:00:00"/>
        <d v="2023-01-25T00:00:00"/>
        <d v="2023-12-03T00:00:00"/>
        <d v="2023-03-05T00:00:00"/>
        <d v="2023-09-16T00:00:00"/>
        <d v="2023-12-18T00:00:00"/>
        <d v="2023-02-11T00:00:00"/>
        <d v="2023-09-17T00:00:00"/>
        <d v="2023-04-11T00:00:00"/>
        <d v="2023-02-22T00:00:00"/>
        <d v="2023-12-30T00:00:00"/>
        <d v="2023-09-13T00:00:00"/>
        <d v="2023-01-27T00:00:00"/>
        <d v="2023-02-19T00:00:00"/>
        <d v="2023-04-22T00:00:00"/>
        <d v="2023-10-01T00:00:00"/>
        <d v="2023-08-30T00:00:00"/>
        <d v="2023-05-22T00:00:00"/>
        <d v="2023-11-01T00:00:00"/>
        <d v="2023-03-25T00:00:00"/>
        <d v="2023-01-10T00:00:00"/>
        <d v="2023-07-29T00:00:00"/>
        <d v="2023-06-20T00:00:00"/>
        <d v="2023-04-23T00:00:00"/>
        <d v="2023-12-27T00:00:00"/>
        <d v="2023-09-27T00:00:00"/>
        <d v="2023-06-07T00:00:00"/>
        <d v="2023-02-05T00:00:00"/>
        <d v="2023-12-09T00:00:00"/>
        <d v="2023-06-09T00:00:00"/>
        <d v="2023-02-17T00:00:00"/>
        <d v="2023-04-09T00:00:00"/>
        <d v="2023-09-01T00:00:00"/>
        <d v="2023-09-07T00:00:00"/>
        <d v="2023-12-16T00:00:00"/>
        <d v="2023-09-26T00:00:00"/>
        <d v="2023-01-18T00:00:00"/>
        <d v="2023-08-07T00:00:00"/>
        <d v="2023-06-30T00:00:00"/>
        <d v="2023-05-18T00:00:00"/>
        <d v="2023-03-27T00:00:00"/>
        <d v="2023-03-28T00:00:00"/>
        <d v="2023-01-03T00:00:00"/>
        <d v="2023-10-15T00:00:00"/>
        <d v="2023-11-05T00:00:00"/>
        <d v="2023-07-23T00:00:00"/>
        <d v="2023-06-05T00:00:00"/>
        <d v="2023-04-25T00:00:00"/>
        <d v="2023-02-28T00:00:00"/>
        <d v="2023-02-16T00:00:00"/>
        <d v="2023-09-02T00:00:00"/>
        <d v="2023-09-24T00:00:00"/>
        <d v="2023-12-15T00:00:00"/>
        <d v="2023-07-22T00:00:00"/>
        <d v="2023-06-22T00:00:00"/>
        <d v="2023-05-01T00:00:00"/>
        <d v="2023-08-18T00:00:00"/>
        <d v="2023-01-02T00:00:00"/>
        <d v="2023-02-02T00:00:00"/>
        <d v="2023-09-09T00:00:00"/>
        <d v="2023-02-27T00:00:00"/>
        <d v="2023-03-14T00:00:00"/>
        <d v="2023-12-26T00:00:00"/>
        <d v="2023-09-12T00:00:00"/>
        <d v="2023-02-18T00:00:00"/>
        <d v="2023-12-19T00:00:00"/>
        <d v="2023-12-29T00:00:00"/>
        <d v="2023-10-18T00:00:00"/>
        <d v="2023-08-17T00:00:00"/>
        <d v="2023-05-08T00:00:00"/>
        <d v="2023-11-17T00:00:00"/>
        <d v="2023-05-28T00:00:00"/>
        <d v="2023-08-12T00:00:00"/>
        <d v="2023-02-14T00:00:00"/>
        <d v="2023-05-14T00:00:00"/>
        <d v="2023-12-06T00:00:00"/>
        <d v="2023-06-08T00:00:00"/>
        <d v="2023-11-08T00:00:00"/>
        <d v="2023-05-10T00:00:00"/>
        <d v="2023-11-23T00:00:00"/>
        <d v="2023-04-07T00:00:00"/>
        <d v="2023-10-23T00:00:00"/>
        <d v="2023-08-01T00:00:00"/>
        <d v="2023-06-14T00:00:00"/>
        <d v="2023-02-26T00:00:00"/>
        <d v="2023-09-29T00:00:00"/>
        <d v="2023-12-02T00:00:00"/>
        <d v="2023-09-10T00:00:00"/>
        <d v="2023-01-23T00:00:00"/>
        <d v="2023-01-30T00:00:00"/>
        <d v="2023-08-02T00:00:00"/>
        <d v="2023-03-31T00:00:00"/>
        <d v="2023-08-23T00:00:00"/>
        <d v="2023-11-13T00:00:00"/>
        <d v="2023-02-04T00:00:00"/>
        <d v="2023-10-22T00:00:00"/>
        <d v="2023-05-03T00:00:00"/>
        <d v="2023-06-16T00:00:00"/>
        <d v="2023-10-12T00:00:00"/>
        <d v="2023-07-14T00:00:00"/>
        <d v="2023-11-21T00:00:00"/>
        <d v="2023-06-19T00:00:00"/>
        <d v="2023-08-19T00:00:00"/>
        <d v="2023-06-27T00:00:00"/>
        <d v="2023-03-07T00:00:00"/>
        <d v="2023-10-08T00:00:00"/>
        <d v="2023-05-20T00:00:00"/>
        <d v="2023-10-28T00:00:00"/>
        <d v="2023-04-10T00:00:00"/>
        <d v="2023-08-25T00:00:00"/>
        <d v="2023-09-15T00:00:00"/>
        <d v="2023-06-18T00:00:00"/>
        <d v="2023-05-19T00:00:00"/>
        <d v="2023-08-04T00:00:00"/>
        <d v="2023-01-29T00:00:00"/>
        <d v="2023-07-19T00:00:00"/>
        <d v="2023-06-01T00:00:00"/>
        <d v="2023-07-17T00:00:00"/>
        <d v="2023-05-24T00:00:00"/>
        <d v="2023-06-10T00:00:00"/>
        <d v="2023-01-17T00:00:00"/>
        <d v="2023-11-09T00:00:00"/>
        <d v="2023-03-18T00:00:00"/>
        <d v="2023-02-20T00:00:00"/>
        <d v="2023-07-10T00:00:00"/>
        <d v="2023-09-21T00:00:00"/>
        <d v="2023-10-13T00:00:00"/>
        <d v="2023-10-20T00:00:00"/>
        <d v="2023-01-01T00:00:00"/>
        <d v="2023-05-27T00:00:00"/>
        <d v="2023-10-25T00:00:00"/>
        <d v="2023-01-24T00:00:00"/>
        <d v="2023-05-15T00:00:00"/>
        <d v="2023-12-25T00:00:00"/>
        <d v="2023-03-16T00:00:00"/>
        <d v="2023-03-23T00:00:00"/>
        <d v="2023-06-26T00:00:00"/>
        <d v="2023-07-18T00:00:00"/>
        <d v="2023-06-23T00:00:00"/>
        <d v="2023-05-30T00:00:00"/>
        <d v="2023-08-11T00:00:00"/>
        <d v="2023-04-04T00:00:00"/>
        <d v="2023-10-24T00:00:00"/>
        <d v="2023-03-06T00:00:00"/>
        <d v="2023-10-06T00:00:00"/>
        <d v="2023-08-27T00:00:00"/>
        <d v="2023-04-15T00:00:00"/>
        <d v="2023-01-05T00:00:00"/>
        <d v="2023-07-11T00:00:00"/>
        <d v="2023-10-10T00:00:00"/>
        <d v="2023-04-30T00:00:00"/>
        <d v="2023-12-20T00:00:00"/>
        <d v="2023-12-04T00:00:00"/>
        <d v="2023-04-19T00:00:00"/>
        <d v="2023-03-13T00:00:00"/>
        <d v="2023-04-26T00:00:00"/>
        <d v="2023-10-03T00:00:00"/>
        <d v="2023-08-13T00:00:00"/>
        <d v="2023-11-16T00:00:00"/>
        <d v="2023-10-11T00:00:00"/>
        <d v="2023-09-25T00:00:00"/>
        <d v="2023-04-27T00:00:00"/>
        <d v="2023-05-07T00:00:00"/>
        <d v="2023-03-12T00:00:00"/>
        <d v="2023-02-25T00:00:00"/>
        <d v="2023-04-16T00:00:00"/>
        <d v="2023-07-25T00:00:00"/>
        <d v="2023-10-29T00:00:00"/>
        <d v="2023-12-17T00:00:00"/>
        <d v="2023-02-24T00:00:00"/>
        <d v="2023-09-04T00:00:00"/>
        <d v="2023-05-11T00:00:00"/>
        <d v="2023-02-07T00:00:00"/>
        <d v="2023-05-17T00:00:00"/>
        <d v="2023-07-07T00:00:00"/>
        <d v="2023-06-12T00:00:00"/>
        <d v="2023-10-02T00:00:00"/>
        <d v="2023-09-20T00:00:00"/>
        <d v="2023-07-12T00:00:00"/>
        <d v="2023-05-29T00:00:00"/>
        <d v="2023-05-02T00:00:00"/>
        <d v="2023-08-26T00:00:00"/>
        <d v="2023-02-23T00:00:00"/>
        <d v="2023-08-03T00:00:00"/>
        <d v="2023-03-10T00:00:00"/>
        <d v="2023-09-22T00:00:00"/>
        <d v="2023-06-02T00:00:00"/>
        <d v="2023-04-14T00:00:00"/>
        <d v="2023-03-19T00:00:00"/>
        <d v="2023-06-13T00:00:00"/>
        <d v="2023-04-29T00:00:00"/>
        <d v="2023-02-10T00:00:00"/>
        <d v="2023-04-01T00:00:00"/>
        <d v="2023-01-09T00:00:00"/>
        <d v="2023-12-31T00:00:00"/>
        <d v="2023-09-30T00:00:00"/>
        <d v="2023-02-15T00:00:00"/>
        <d v="2023-01-31T00:00:00"/>
        <d v="2023-11-02T00:00:00"/>
        <d v="2023-12-13T00:00:00"/>
        <d v="2023-08-09T00:00:00"/>
        <d v="2023-07-28T00:00:00"/>
      </sharedItems>
      <fieldGroup par="15"/>
    </cacheField>
    <cacheField name="Customer ID" numFmtId="0">
      <sharedItems/>
    </cacheField>
    <cacheField name="Customer Name" numFmtId="0">
      <sharedItems containsBlank="1"/>
    </cacheField>
    <cacheField name="City" numFmtId="0">
      <sharedItems containsBlank="1"/>
    </cacheField>
    <cacheField name="State" numFmtId="0">
      <sharedItems count="14">
        <s v="Karnataka"/>
        <s v="Bihar"/>
        <s v="Tamil Nadu"/>
        <s v="Delhi"/>
        <s v="Punjab"/>
        <s v="Maharashtra"/>
        <s v="Gujarat"/>
        <s v="Odisha"/>
        <s v="Telangana"/>
        <s v="Kerala"/>
        <s v="Uttar Pradesh"/>
        <s v="Madhya Pradesh"/>
        <s v="Rajasthan"/>
        <s v="West Bengal"/>
      </sharedItems>
    </cacheField>
    <cacheField name="Region" numFmtId="0">
      <sharedItems count="4">
        <s v="South"/>
        <s v="East"/>
        <s v="North"/>
        <s v="West"/>
      </sharedItems>
    </cacheField>
    <cacheField name="Product Name" numFmtId="0">
      <sharedItems count="32">
        <s v="Mi 10000mAh Power Bank 3i"/>
        <s v="SanDisk 128GB Ultra Dual Drive"/>
        <s v="Mamaearth Onion Hair Fall Control Oil 250ml"/>
        <s v="boAt Airdopes 141 Bluetooth Earbuds"/>
        <s v="JBL Flip 6 Portable Bluetooth Speaker"/>
        <s v="Milton Thermosteel Bottle 1000ml"/>
        <s v="Biotique Botanical Glow Skincare Combo"/>
        <s v="Sony Bravia 43-inch 4K LED TV"/>
        <s v="Canon EOS 1500D DSLR Camera"/>
        <s v="Noise ColorFit Pulse Smartwatch"/>
        <s v="Levi's Men Slim Fit Denim Jeans"/>
        <s v="Spigen Armor Back Cover"/>
        <s v="Wakefit Ergonomic Orthopedic Mattress"/>
        <s v="HP Pavilion 15 Core i5 Laptop"/>
        <s v="Solimo Water Repellent Polyester Curtains (Set of 2)"/>
        <s v="Peter England Formal Trousers"/>
        <s v="Puma Unisex Smashic Sneakers"/>
        <s v="OnePlus 11R 5G (128GB)"/>
        <s v="Logitech Wireless Keyboard &amp; Mouse"/>
        <s v="Lavie Women Handbag"/>
        <s v="Prestige Iris 750W Mixer Grinder"/>
        <s v="Biba Women Printed Anarkali Kurta"/>
        <s v="Fastrack Analog Watch for Men"/>
        <s v="Philips Electric Beard Trimmer Series 3000"/>
        <s v="Pigeon 4-Burner Glass Top Gas Stove"/>
        <s v="Allen Solly Casual Cotton Shirt"/>
        <s v="Lakme Absolute Matte Melt Liquid Lip Color"/>
        <s v="Hawkins Futura Hard Anodised Kadai"/>
        <s v="Samsung Galaxy S23 5G"/>
        <s v="Philips Air Fryer HD9200"/>
        <s v="The Derma Co 10% Vitamin C Face Serum"/>
        <s v="Redmi Note 12 Pro 5G"/>
      </sharedItems>
    </cacheField>
    <cacheField name="Category" numFmtId="0">
      <sharedItems count="5">
        <s v="Mobiles &amp; Accessories"/>
        <s v="Electronics"/>
        <s v="Beauty &amp; Personal Care"/>
        <s v="Home &amp; Kitchen"/>
        <s v="Fashion"/>
      </sharedItems>
    </cacheField>
    <cacheField name="Sales" numFmtId="0">
      <sharedItems containsSemiMixedTypes="0" containsString="0" containsNumber="1" minValue="399.2" maxValue="259996"/>
    </cacheField>
    <cacheField name="Quantity" numFmtId="0">
      <sharedItems containsSemiMixedTypes="0" containsString="0" containsNumber="1" containsInteger="1" minValue="1" maxValue="4"/>
    </cacheField>
    <cacheField name="Profit" numFmtId="0">
      <sharedItems containsSemiMixedTypes="0" containsString="0" containsNumber="1" minValue="-29249.55" maxValue="28800"/>
    </cacheField>
    <cacheField name="Payment Method" numFmtId="0">
      <sharedItems containsBlank="1" count="6">
        <s v="UPI"/>
        <s v="Cash on Delivery"/>
        <s v="Net Banking"/>
        <s v="Credit Card"/>
        <s v="Debit Card"/>
        <m/>
      </sharedItems>
    </cacheField>
    <cacheField name="Order Status" numFmtId="0">
      <sharedItems count="5">
        <s v="Cancelled"/>
        <s v="Delivered"/>
        <s v="Processing"/>
        <s v="Returned"/>
        <s v="Shipped"/>
      </sharedItems>
    </cacheField>
    <cacheField name="Days (Order Date)" numFmtId="0" databaseField="0">
      <fieldGroup base="1">
        <rangePr groupBy="days" startDate="2023-01-01T00:00:00" endDate="2024-01-01T00:00:00"/>
        <groupItems count="368">
          <s v="&lt;01-01-2023"/>
          <s v="01-Jan"/>
          <s v="02-Jan"/>
          <s v="03-Jan"/>
          <s v="04-Jan"/>
          <s v="05-Jan"/>
          <s v="06-Jan"/>
          <s v="07-Jan"/>
          <s v="08-Jan"/>
          <s v="09-Jan"/>
          <s v="10-Jan"/>
          <s v="11-Jan"/>
          <s v="12-Jan"/>
          <s v="13-Jan"/>
          <s v="14-Jan"/>
          <s v="15-Jan"/>
          <s v="16-Jan"/>
          <s v="17-Jan"/>
          <s v="18-Jan"/>
          <s v="19-Jan"/>
          <s v="20-Jan"/>
          <s v="21-Jan"/>
          <s v="22-Jan"/>
          <s v="23-Jan"/>
          <s v="24-Jan"/>
          <s v="25-Jan"/>
          <s v="26-Jan"/>
          <s v="27-Jan"/>
          <s v="28-Jan"/>
          <s v="29-Jan"/>
          <s v="30-Jan"/>
          <s v="31-Jan"/>
          <s v="01-Feb"/>
          <s v="02-Feb"/>
          <s v="03-Feb"/>
          <s v="04-Feb"/>
          <s v="05-Feb"/>
          <s v="06-Feb"/>
          <s v="07-Feb"/>
          <s v="08-Feb"/>
          <s v="09-Feb"/>
          <s v="10-Feb"/>
          <s v="11-Feb"/>
          <s v="12-Feb"/>
          <s v="13-Feb"/>
          <s v="14-Feb"/>
          <s v="15-Feb"/>
          <s v="16-Feb"/>
          <s v="17-Feb"/>
          <s v="18-Feb"/>
          <s v="19-Feb"/>
          <s v="20-Feb"/>
          <s v="21-Feb"/>
          <s v="22-Feb"/>
          <s v="23-Feb"/>
          <s v="24-Feb"/>
          <s v="25-Feb"/>
          <s v="26-Feb"/>
          <s v="27-Feb"/>
          <s v="28-Feb"/>
          <s v="29-Feb"/>
          <s v="01-Mar"/>
          <s v="02-Mar"/>
          <s v="03-Mar"/>
          <s v="04-Mar"/>
          <s v="05-Mar"/>
          <s v="06-Mar"/>
          <s v="07-Mar"/>
          <s v="08-Mar"/>
          <s v="09-Mar"/>
          <s v="10-Mar"/>
          <s v="11-Mar"/>
          <s v="12-Mar"/>
          <s v="13-Mar"/>
          <s v="14-Mar"/>
          <s v="15-Mar"/>
          <s v="16-Mar"/>
          <s v="17-Mar"/>
          <s v="18-Mar"/>
          <s v="19-Mar"/>
          <s v="20-Mar"/>
          <s v="21-Mar"/>
          <s v="22-Mar"/>
          <s v="23-Mar"/>
          <s v="24-Mar"/>
          <s v="25-Mar"/>
          <s v="26-Mar"/>
          <s v="27-Mar"/>
          <s v="28-Mar"/>
          <s v="29-Mar"/>
          <s v="30-Mar"/>
          <s v="31-Mar"/>
          <s v="01-Apr"/>
          <s v="02-Apr"/>
          <s v="03-Apr"/>
          <s v="04-Apr"/>
          <s v="05-Apr"/>
          <s v="06-Apr"/>
          <s v="07-Apr"/>
          <s v="08-Apr"/>
          <s v="09-Apr"/>
          <s v="10-Apr"/>
          <s v="11-Apr"/>
          <s v="12-Apr"/>
          <s v="13-Apr"/>
          <s v="14-Apr"/>
          <s v="15-Apr"/>
          <s v="16-Apr"/>
          <s v="17-Apr"/>
          <s v="18-Apr"/>
          <s v="19-Apr"/>
          <s v="20-Apr"/>
          <s v="21-Apr"/>
          <s v="22-Apr"/>
          <s v="23-Apr"/>
          <s v="24-Apr"/>
          <s v="25-Apr"/>
          <s v="26-Apr"/>
          <s v="27-Apr"/>
          <s v="28-Apr"/>
          <s v="29-Apr"/>
          <s v="30-Apr"/>
          <s v="01-May"/>
          <s v="02-May"/>
          <s v="03-May"/>
          <s v="04-May"/>
          <s v="05-May"/>
          <s v="06-May"/>
          <s v="07-May"/>
          <s v="08-May"/>
          <s v="09-May"/>
          <s v="10-May"/>
          <s v="11-May"/>
          <s v="12-May"/>
          <s v="13-May"/>
          <s v="14-May"/>
          <s v="15-May"/>
          <s v="16-May"/>
          <s v="17-May"/>
          <s v="18-May"/>
          <s v="19-May"/>
          <s v="20-May"/>
          <s v="21-May"/>
          <s v="22-May"/>
          <s v="23-May"/>
          <s v="24-May"/>
          <s v="25-May"/>
          <s v="26-May"/>
          <s v="27-May"/>
          <s v="28-May"/>
          <s v="29-May"/>
          <s v="30-May"/>
          <s v="31-May"/>
          <s v="01-Jun"/>
          <s v="02-Jun"/>
          <s v="03-Jun"/>
          <s v="04-Jun"/>
          <s v="05-Jun"/>
          <s v="06-Jun"/>
          <s v="07-Jun"/>
          <s v="08-Jun"/>
          <s v="09-Jun"/>
          <s v="10-Jun"/>
          <s v="11-Jun"/>
          <s v="12-Jun"/>
          <s v="13-Jun"/>
          <s v="14-Jun"/>
          <s v="15-Jun"/>
          <s v="16-Jun"/>
          <s v="17-Jun"/>
          <s v="18-Jun"/>
          <s v="19-Jun"/>
          <s v="20-Jun"/>
          <s v="21-Jun"/>
          <s v="22-Jun"/>
          <s v="23-Jun"/>
          <s v="24-Jun"/>
          <s v="25-Jun"/>
          <s v="26-Jun"/>
          <s v="27-Jun"/>
          <s v="28-Jun"/>
          <s v="29-Jun"/>
          <s v="30-Jun"/>
          <s v="01-Jul"/>
          <s v="02-Jul"/>
          <s v="03-Jul"/>
          <s v="04-Jul"/>
          <s v="05-Jul"/>
          <s v="06-Jul"/>
          <s v="07-Jul"/>
          <s v="08-Jul"/>
          <s v="09-Jul"/>
          <s v="10-Jul"/>
          <s v="11-Jul"/>
          <s v="12-Jul"/>
          <s v="13-Jul"/>
          <s v="14-Jul"/>
          <s v="15-Jul"/>
          <s v="16-Jul"/>
          <s v="17-Jul"/>
          <s v="18-Jul"/>
          <s v="19-Jul"/>
          <s v="20-Jul"/>
          <s v="21-Jul"/>
          <s v="22-Jul"/>
          <s v="23-Jul"/>
          <s v="24-Jul"/>
          <s v="25-Jul"/>
          <s v="26-Jul"/>
          <s v="27-Jul"/>
          <s v="28-Jul"/>
          <s v="29-Jul"/>
          <s v="30-Jul"/>
          <s v="31-Jul"/>
          <s v="01-Aug"/>
          <s v="02-Aug"/>
          <s v="03-Aug"/>
          <s v="04-Aug"/>
          <s v="05-Aug"/>
          <s v="06-Aug"/>
          <s v="07-Aug"/>
          <s v="08-Aug"/>
          <s v="09-Aug"/>
          <s v="10-Aug"/>
          <s v="11-Aug"/>
          <s v="12-Aug"/>
          <s v="13-Aug"/>
          <s v="14-Aug"/>
          <s v="15-Aug"/>
          <s v="16-Aug"/>
          <s v="17-Aug"/>
          <s v="18-Aug"/>
          <s v="19-Aug"/>
          <s v="20-Aug"/>
          <s v="21-Aug"/>
          <s v="22-Aug"/>
          <s v="23-Aug"/>
          <s v="24-Aug"/>
          <s v="25-Aug"/>
          <s v="26-Aug"/>
          <s v="27-Aug"/>
          <s v="28-Aug"/>
          <s v="29-Aug"/>
          <s v="30-Aug"/>
          <s v="31-Aug"/>
          <s v="01-Sep"/>
          <s v="02-Sep"/>
          <s v="03-Sep"/>
          <s v="04-Sep"/>
          <s v="05-Sep"/>
          <s v="06-Sep"/>
          <s v="07-Sep"/>
          <s v="08-Sep"/>
          <s v="09-Sep"/>
          <s v="10-Sep"/>
          <s v="11-Sep"/>
          <s v="12-Sep"/>
          <s v="13-Sep"/>
          <s v="14-Sep"/>
          <s v="15-Sep"/>
          <s v="16-Sep"/>
          <s v="17-Sep"/>
          <s v="18-Sep"/>
          <s v="19-Sep"/>
          <s v="20-Sep"/>
          <s v="21-Sep"/>
          <s v="22-Sep"/>
          <s v="23-Sep"/>
          <s v="24-Sep"/>
          <s v="25-Sep"/>
          <s v="26-Sep"/>
          <s v="27-Sep"/>
          <s v="28-Sep"/>
          <s v="29-Sep"/>
          <s v="30-Sep"/>
          <s v="01-Oct"/>
          <s v="02-Oct"/>
          <s v="03-Oct"/>
          <s v="04-Oct"/>
          <s v="05-Oct"/>
          <s v="06-Oct"/>
          <s v="07-Oct"/>
          <s v="08-Oct"/>
          <s v="09-Oct"/>
          <s v="10-Oct"/>
          <s v="11-Oct"/>
          <s v="12-Oct"/>
          <s v="13-Oct"/>
          <s v="14-Oct"/>
          <s v="15-Oct"/>
          <s v="16-Oct"/>
          <s v="17-Oct"/>
          <s v="18-Oct"/>
          <s v="19-Oct"/>
          <s v="20-Oct"/>
          <s v="21-Oct"/>
          <s v="22-Oct"/>
          <s v="23-Oct"/>
          <s v="24-Oct"/>
          <s v="25-Oct"/>
          <s v="26-Oct"/>
          <s v="27-Oct"/>
          <s v="28-Oct"/>
          <s v="29-Oct"/>
          <s v="30-Oct"/>
          <s v="31-Oct"/>
          <s v="01-Nov"/>
          <s v="02-Nov"/>
          <s v="03-Nov"/>
          <s v="04-Nov"/>
          <s v="05-Nov"/>
          <s v="06-Nov"/>
          <s v="07-Nov"/>
          <s v="08-Nov"/>
          <s v="09-Nov"/>
          <s v="10-Nov"/>
          <s v="11-Nov"/>
          <s v="12-Nov"/>
          <s v="13-Nov"/>
          <s v="14-Nov"/>
          <s v="15-Nov"/>
          <s v="16-Nov"/>
          <s v="17-Nov"/>
          <s v="18-Nov"/>
          <s v="19-Nov"/>
          <s v="20-Nov"/>
          <s v="21-Nov"/>
          <s v="22-Nov"/>
          <s v="23-Nov"/>
          <s v="24-Nov"/>
          <s v="25-Nov"/>
          <s v="26-Nov"/>
          <s v="27-Nov"/>
          <s v="28-Nov"/>
          <s v="29-Nov"/>
          <s v="30-Nov"/>
          <s v="01-Dec"/>
          <s v="02-Dec"/>
          <s v="03-Dec"/>
          <s v="04-Dec"/>
          <s v="05-Dec"/>
          <s v="06-Dec"/>
          <s v="07-Dec"/>
          <s v="08-Dec"/>
          <s v="09-Dec"/>
          <s v="10-Dec"/>
          <s v="11-Dec"/>
          <s v="12-Dec"/>
          <s v="13-Dec"/>
          <s v="14-Dec"/>
          <s v="15-Dec"/>
          <s v="16-Dec"/>
          <s v="17-Dec"/>
          <s v="18-Dec"/>
          <s v="19-Dec"/>
          <s v="20-Dec"/>
          <s v="21-Dec"/>
          <s v="22-Dec"/>
          <s v="23-Dec"/>
          <s v="24-Dec"/>
          <s v="25-Dec"/>
          <s v="26-Dec"/>
          <s v="27-Dec"/>
          <s v="28-Dec"/>
          <s v="29-Dec"/>
          <s v="30-Dec"/>
          <s v="31-Dec"/>
          <s v="&gt;01-01-2024"/>
        </groupItems>
      </fieldGroup>
    </cacheField>
    <cacheField name="Months (Order Date)" numFmtId="0" databaseField="0">
      <fieldGroup base="1">
        <rangePr groupBy="months" startDate="2023-01-01T00:00:00" endDate="2024-01-01T00:00:00"/>
        <groupItems count="14">
          <s v="&lt;01-01-2023"/>
          <s v="Jan"/>
          <s v="Feb"/>
          <s v="Mar"/>
          <s v="Apr"/>
          <s v="May"/>
          <s v="Jun"/>
          <s v="Jul"/>
          <s v="Aug"/>
          <s v="Sep"/>
          <s v="Oct"/>
          <s v="Nov"/>
          <s v="Dec"/>
          <s v="&gt;01-01-2024"/>
        </groupItems>
      </fieldGroup>
    </cacheField>
  </cacheFields>
  <extLst>
    <ext xmlns:x14="http://schemas.microsoft.com/office/spreadsheetml/2009/9/main" uri="{725AE2AE-9491-48be-B2B4-4EB974FC3084}">
      <x14:pivotCacheDefinition/>
    </ext>
    <ext xmlns:xlpdsc="http://schemas.microsoft.com/office/spreadsheetml/2026/pivotDataSourceClean" uri="{F4336242-56EE-4DD3-A5F7-E900642BF6E9}">
      <xlpdsc:dataSourceClean>1</xlpdsc:dataSourceClean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850">
  <r>
    <s v="IND-2023-1001"/>
    <x v="0"/>
    <s v="CUS-1023"/>
    <s v="Gaurav Bansal"/>
    <s v="Bengaluru"/>
    <x v="0"/>
    <x v="0"/>
    <x v="0"/>
    <x v="0"/>
    <n v="3836.8"/>
    <n v="4"/>
    <n v="0"/>
    <x v="0"/>
    <x v="0"/>
  </r>
  <r>
    <s v="IND-2023-1002"/>
    <x v="1"/>
    <s v="CUS-1007"/>
    <s v="Vikram Malhotra"/>
    <s v="Patna"/>
    <x v="1"/>
    <x v="1"/>
    <x v="1"/>
    <x v="1"/>
    <n v="1358.4"/>
    <n v="2"/>
    <n v="165.3"/>
    <x v="0"/>
    <x v="1"/>
  </r>
  <r>
    <s v="IND-2023-1003"/>
    <x v="2"/>
    <s v="CUS-1018"/>
    <s v="Divya Pillai"/>
    <s v="Chennai"/>
    <x v="2"/>
    <x v="0"/>
    <x v="2"/>
    <x v="2"/>
    <n v="424.15"/>
    <n v="1"/>
    <n v="103.86"/>
    <x v="1"/>
    <x v="2"/>
  </r>
  <r>
    <s v="IND-2023-1004"/>
    <x v="3"/>
    <s v="CUS-1021"/>
    <s v="Arjun Reddy"/>
    <s v="Chennai"/>
    <x v="2"/>
    <x v="0"/>
    <x v="3"/>
    <x v="0"/>
    <n v="5196"/>
    <n v="4"/>
    <n v="1280"/>
    <x v="1"/>
    <x v="1"/>
  </r>
  <r>
    <s v="IND-2023-1005"/>
    <x v="4"/>
    <s v="CUS-1008"/>
    <s v="Pooja Nair"/>
    <s v="Delhi"/>
    <x v="3"/>
    <x v="2"/>
    <x v="4"/>
    <x v="1"/>
    <n v="35996"/>
    <n v="4"/>
    <n v="4800"/>
    <x v="2"/>
    <x v="1"/>
  </r>
  <r>
    <s v="IND-2023-1006"/>
    <x v="5"/>
    <s v="CUS-1004"/>
    <s v="Ananya Iyer"/>
    <s v="Chandigarh"/>
    <x v="4"/>
    <x v="2"/>
    <x v="5"/>
    <x v="3"/>
    <n v="1795.5"/>
    <n v="2"/>
    <n v="349.12"/>
    <x v="1"/>
    <x v="1"/>
  </r>
  <r>
    <s v="IND-2023-1007"/>
    <x v="6"/>
    <s v="CUS-1012"/>
    <s v="Kavita Rao"/>
    <s v="Chennai"/>
    <x v="2"/>
    <x v="0"/>
    <x v="1"/>
    <x v="1"/>
    <n v="1443.3"/>
    <n v="2"/>
    <n v="228.98"/>
    <x v="3"/>
    <x v="1"/>
  </r>
  <r>
    <s v="IND-2023-1008"/>
    <x v="7"/>
    <s v="CUS-1016"/>
    <s v="Ritu Mehta"/>
    <s v="Mumbai"/>
    <x v="5"/>
    <x v="3"/>
    <x v="6"/>
    <x v="2"/>
    <n v="1560"/>
    <n v="2"/>
    <n v="480"/>
    <x v="1"/>
    <x v="1"/>
  </r>
  <r>
    <s v="IND-2023-1009"/>
    <x v="8"/>
    <s v="CUS-1006"/>
    <s v="Sneha Mukherjee"/>
    <s v="Delhi"/>
    <x v="3"/>
    <x v="2"/>
    <x v="7"/>
    <x v="1"/>
    <n v="111121.5"/>
    <n v="3"/>
    <n v="-16668.22"/>
    <x v="0"/>
    <x v="3"/>
  </r>
  <r>
    <s v="IND-2023-1010"/>
    <x v="9"/>
    <s v="CUS-1011"/>
    <s v="Aditya Joshi"/>
    <s v="Delhi"/>
    <x v="3"/>
    <x v="2"/>
    <x v="8"/>
    <x v="1"/>
    <n v="134368"/>
    <n v="4"/>
    <n v="-7194"/>
    <x v="3"/>
    <x v="1"/>
  </r>
  <r>
    <s v="IND-2023-1011"/>
    <x v="10"/>
    <s v="CUS-1024"/>
    <s v="Meera Nambiar"/>
    <s v="Mumbai"/>
    <x v="5"/>
    <x v="3"/>
    <x v="6"/>
    <x v="2"/>
    <n v="741"/>
    <n v="1"/>
    <n v="210.75"/>
    <x v="0"/>
    <x v="1"/>
  </r>
  <r>
    <s v="IND-2023-1012"/>
    <x v="11"/>
    <s v="CUS-1006"/>
    <s v="Sneha Mukherjee"/>
    <s v="Ahmedabad"/>
    <x v="6"/>
    <x v="3"/>
    <x v="1"/>
    <x v="1"/>
    <n v="1443.3"/>
    <n v="2"/>
    <n v="228.98"/>
    <x v="3"/>
    <x v="1"/>
  </r>
  <r>
    <s v="IND-2023-1013"/>
    <x v="12"/>
    <s v="CUS-1011"/>
    <s v="Aditya Joshi"/>
    <s v="Bhubaneswar"/>
    <x v="7"/>
    <x v="1"/>
    <x v="9"/>
    <x v="0"/>
    <n v="4317.6000000000004"/>
    <n v="3"/>
    <n v="330.45"/>
    <x v="4"/>
    <x v="1"/>
  </r>
  <r>
    <s v="IND-2023-1014"/>
    <x v="13"/>
    <s v="CUS-1018"/>
    <s v="Divya Pillai"/>
    <s v="Mumbai"/>
    <x v="5"/>
    <x v="3"/>
    <x v="10"/>
    <x v="4"/>
    <n v="3998.4"/>
    <n v="2"/>
    <n v="550.29999999999995"/>
    <x v="0"/>
    <x v="1"/>
  </r>
  <r>
    <s v="IND-2023-1015"/>
    <x v="14"/>
    <s v="CUS-1004"/>
    <s v="Ananya Iyer"/>
    <s v="Hyderabad"/>
    <x v="8"/>
    <x v="0"/>
    <x v="9"/>
    <x v="0"/>
    <n v="4857.3"/>
    <n v="3"/>
    <n v="-728.6"/>
    <x v="3"/>
    <x v="3"/>
  </r>
  <r>
    <s v="IND-2023-1016"/>
    <x v="15"/>
    <s v="CUS-1011"/>
    <s v="Aditya Joshi"/>
    <s v="Pune"/>
    <x v="5"/>
    <x v="3"/>
    <x v="11"/>
    <x v="0"/>
    <n v="1358.3"/>
    <n v="2"/>
    <n v="0"/>
    <x v="3"/>
    <x v="0"/>
  </r>
  <r>
    <s v="IND-2023-1017"/>
    <x v="16"/>
    <s v="CUS-1005"/>
    <s v="Rohan Gupta"/>
    <s v="Kochi"/>
    <x v="9"/>
    <x v="0"/>
    <x v="12"/>
    <x v="3"/>
    <n v="10624.15"/>
    <n v="1"/>
    <n v="-2856.14"/>
    <x v="2"/>
    <x v="1"/>
  </r>
  <r>
    <s v="IND-2023-1018"/>
    <x v="17"/>
    <s v="CUS-1016"/>
    <s v="Ritu Mehta"/>
    <s v="Hyderabad"/>
    <x v="8"/>
    <x v="0"/>
    <x v="4"/>
    <x v="1"/>
    <n v="8099.1"/>
    <n v="1"/>
    <n v="525.07000000000005"/>
    <x v="3"/>
    <x v="1"/>
  </r>
  <r>
    <s v="IND-2023-1019"/>
    <x v="18"/>
    <s v="CUS-1004"/>
    <s v="Ananya Iyer"/>
    <s v="Bhubaneswar"/>
    <x v="7"/>
    <x v="1"/>
    <x v="5"/>
    <x v="3"/>
    <n v="3213"/>
    <n v="4"/>
    <n v="414.75"/>
    <x v="0"/>
    <x v="1"/>
  </r>
  <r>
    <s v="IND-2023-1020"/>
    <x v="19"/>
    <s v="CUS-1024"/>
    <s v="Meera Nambiar"/>
    <s v="Hyderabad"/>
    <x v="8"/>
    <x v="0"/>
    <x v="13"/>
    <x v="1"/>
    <n v="109980"/>
    <n v="2"/>
    <n v="0"/>
    <x v="1"/>
    <x v="0"/>
  </r>
  <r>
    <s v="IND-2023-1021"/>
    <x v="20"/>
    <s v="CUS-1006"/>
    <s v="Sneha Mukherjee"/>
    <s v="Ahmedabad"/>
    <x v="6"/>
    <x v="3"/>
    <x v="14"/>
    <x v="3"/>
    <n v="1798"/>
    <n v="2"/>
    <n v="-240"/>
    <x v="0"/>
    <x v="1"/>
  </r>
  <r>
    <s v="IND-2023-1022"/>
    <x v="21"/>
    <s v="CUS-1019"/>
    <s v="Manish Agarwal"/>
    <s v="Pune"/>
    <x v="5"/>
    <x v="3"/>
    <x v="15"/>
    <x v="4"/>
    <n v="4796"/>
    <n v="4"/>
    <n v="1160"/>
    <x v="0"/>
    <x v="1"/>
  </r>
  <r>
    <s v="IND-2023-1023"/>
    <x v="22"/>
    <s v="CUS-1024"/>
    <s v="Meera Nambiar"/>
    <s v="Bengaluru"/>
    <x v="0"/>
    <x v="0"/>
    <x v="16"/>
    <x v="4"/>
    <n v="9196"/>
    <n v="4"/>
    <n v="0"/>
    <x v="1"/>
    <x v="0"/>
  </r>
  <r>
    <s v="IND-2023-1024"/>
    <x v="23"/>
    <s v="CUS-1013"/>
    <s v="Amit Mishra"/>
    <s v="Bengaluru"/>
    <x v="0"/>
    <x v="0"/>
    <x v="15"/>
    <x v="4"/>
    <n v="4556.2"/>
    <n v="4"/>
    <n v="980.15"/>
    <x v="3"/>
    <x v="1"/>
  </r>
  <r>
    <s v="IND-2023-1025"/>
    <x v="24"/>
    <s v="CUS-1020"/>
    <s v="Shweta Tiwari"/>
    <s v="Lucknow"/>
    <x v="10"/>
    <x v="2"/>
    <x v="17"/>
    <x v="0"/>
    <n v="75998.100000000006"/>
    <n v="2"/>
    <n v="-11399.72"/>
    <x v="1"/>
    <x v="3"/>
  </r>
  <r>
    <s v="IND-2023-1026"/>
    <x v="25"/>
    <s v="CUS-1019"/>
    <s v="Manish Agarwal"/>
    <s v="Kochi"/>
    <x v="9"/>
    <x v="0"/>
    <x v="18"/>
    <x v="1"/>
    <n v="5382"/>
    <n v="4"/>
    <n v="951.5"/>
    <x v="2"/>
    <x v="1"/>
  </r>
  <r>
    <s v="IND-2023-1027"/>
    <x v="26"/>
    <s v="CUS-1013"/>
    <s v="Amit Mishra"/>
    <s v="Chennai"/>
    <x v="2"/>
    <x v="0"/>
    <x v="18"/>
    <x v="1"/>
    <n v="4260.75"/>
    <n v="3"/>
    <n v="881.81"/>
    <x v="2"/>
    <x v="4"/>
  </r>
  <r>
    <s v="IND-2023-1028"/>
    <x v="0"/>
    <s v="CUS-1010"/>
    <s v="Neha Singh"/>
    <s v="Mumbai"/>
    <x v="5"/>
    <x v="3"/>
    <x v="10"/>
    <x v="4"/>
    <n v="2374.0500000000002"/>
    <n v="1"/>
    <n v="556.29"/>
    <x v="0"/>
    <x v="4"/>
  </r>
  <r>
    <s v="IND-2023-1029"/>
    <x v="27"/>
    <s v="CUS-1024"/>
    <s v="Meera Nambiar"/>
    <s v="Indore"/>
    <x v="11"/>
    <x v="3"/>
    <x v="19"/>
    <x v="4"/>
    <n v="1611"/>
    <n v="1"/>
    <n v="255.75"/>
    <x v="1"/>
    <x v="2"/>
  </r>
  <r>
    <s v="IND-2023-1030"/>
    <x v="28"/>
    <s v="CUS-1021"/>
    <s v="Arjun Reddy"/>
    <s v="Mumbai"/>
    <x v="5"/>
    <x v="3"/>
    <x v="2"/>
    <x v="2"/>
    <n v="1497"/>
    <n v="3"/>
    <n v="480"/>
    <x v="0"/>
    <x v="4"/>
  </r>
  <r>
    <s v="IND-2023-1031"/>
    <x v="29"/>
    <s v="CUS-1016"/>
    <m/>
    <s v="Bengaluru"/>
    <x v="0"/>
    <x v="0"/>
    <x v="5"/>
    <x v="3"/>
    <n v="850.5"/>
    <n v="1"/>
    <n v="139.12"/>
    <x v="3"/>
    <x v="1"/>
  </r>
  <r>
    <s v="IND-2023-1032"/>
    <x v="30"/>
    <s v="CUS-1021"/>
    <s v="Arjun Reddy"/>
    <s v="Jaipur"/>
    <x v="12"/>
    <x v="2"/>
    <x v="20"/>
    <x v="3"/>
    <n v="10236.799999999999"/>
    <n v="4"/>
    <n v="280.60000000000002"/>
    <x v="1"/>
    <x v="2"/>
  </r>
  <r>
    <s v="IND-2023-1033"/>
    <x v="31"/>
    <s v="CUS-1001"/>
    <s v="Aarav Sharma"/>
    <s v="Indore"/>
    <x v="11"/>
    <x v="3"/>
    <x v="21"/>
    <x v="4"/>
    <n v="1699.15"/>
    <n v="1"/>
    <n v="295.11"/>
    <x v="1"/>
    <x v="4"/>
  </r>
  <r>
    <s v="IND-2023-1034"/>
    <x v="32"/>
    <s v="CUS-1014"/>
    <s v="Sunita Das"/>
    <s v="Indore"/>
    <x v="11"/>
    <x v="3"/>
    <x v="21"/>
    <x v="4"/>
    <n v="1999"/>
    <n v="1"/>
    <n v="520"/>
    <x v="1"/>
    <x v="1"/>
  </r>
  <r>
    <s v="IND-2023-1035"/>
    <x v="33"/>
    <s v="CUS-1024"/>
    <s v="Meera Nambiar"/>
    <s v="Mumbai"/>
    <x v="5"/>
    <x v="3"/>
    <x v="0"/>
    <x v="0"/>
    <n v="1139.05"/>
    <n v="1"/>
    <n v="215.04"/>
    <x v="3"/>
    <x v="1"/>
  </r>
  <r>
    <s v="IND-2023-1036"/>
    <x v="34"/>
    <s v="CUS-1021"/>
    <s v="Arjun Reddy"/>
    <s v="Lucknow"/>
    <x v="10"/>
    <x v="2"/>
    <x v="16"/>
    <x v="4"/>
    <n v="6207.3"/>
    <n v="3"/>
    <n v="-1057.28"/>
    <x v="0"/>
    <x v="1"/>
  </r>
  <r>
    <s v="IND-2023-1037"/>
    <x v="35"/>
    <s v="CUS-1016"/>
    <s v="Ritu Mehta"/>
    <s v="Jaipur"/>
    <x v="12"/>
    <x v="2"/>
    <x v="22"/>
    <x v="4"/>
    <n v="5180"/>
    <n v="4"/>
    <n v="1240"/>
    <x v="0"/>
    <x v="1"/>
  </r>
  <r>
    <s v="IND-2023-1038"/>
    <x v="2"/>
    <s v="CUS-1001"/>
    <s v="Aarav Sharma"/>
    <s v="Pune"/>
    <x v="5"/>
    <x v="3"/>
    <x v="10"/>
    <x v="4"/>
    <n v="7122.15"/>
    <n v="3"/>
    <n v="1668.86"/>
    <x v="4"/>
    <x v="1"/>
  </r>
  <r>
    <s v="IND-2023-1039"/>
    <x v="36"/>
    <s v="CUS-1016"/>
    <s v="Ritu Mehta"/>
    <s v="Kolkata"/>
    <x v="13"/>
    <x v="1"/>
    <x v="21"/>
    <x v="4"/>
    <n v="3398.3"/>
    <n v="2"/>
    <n v="590.23"/>
    <x v="3"/>
    <x v="1"/>
  </r>
  <r>
    <s v="IND-2023-1040"/>
    <x v="37"/>
    <s v="CUS-1017"/>
    <s v="Deepak Chopra"/>
    <s v="Patna"/>
    <x v="1"/>
    <x v="1"/>
    <x v="20"/>
    <x v="3"/>
    <n v="6078.1"/>
    <n v="2"/>
    <n v="860.08"/>
    <x v="3"/>
    <x v="1"/>
  </r>
  <r>
    <s v="IND-2023-1041"/>
    <x v="38"/>
    <s v="CUS-1004"/>
    <s v="Ananya Iyer"/>
    <s v="Indore"/>
    <x v="11"/>
    <x v="3"/>
    <x v="20"/>
    <x v="3"/>
    <n v="8157.45"/>
    <n v="3"/>
    <n v="570.34"/>
    <x v="0"/>
    <x v="1"/>
  </r>
  <r>
    <s v="IND-2023-1042"/>
    <x v="39"/>
    <s v="CUS-1017"/>
    <s v="Deepak Chopra"/>
    <s v="Kochi"/>
    <x v="9"/>
    <x v="0"/>
    <x v="23"/>
    <x v="2"/>
    <n v="2998"/>
    <n v="2"/>
    <n v="720"/>
    <x v="0"/>
    <x v="4"/>
  </r>
  <r>
    <s v="IND-2023-1043"/>
    <x v="40"/>
    <s v="CUS-1004"/>
    <s v="Ananya Iyer"/>
    <s v="Patna"/>
    <x v="1"/>
    <x v="1"/>
    <x v="1"/>
    <x v="1"/>
    <n v="2716.8"/>
    <n v="4"/>
    <n v="330.6"/>
    <x v="0"/>
    <x v="1"/>
  </r>
  <r>
    <s v="IND-2023-1044"/>
    <x v="41"/>
    <s v="CUS-1018"/>
    <s v="Divya Pillai"/>
    <s v="Bengaluru"/>
    <x v="0"/>
    <x v="0"/>
    <x v="23"/>
    <x v="2"/>
    <n v="2698.2"/>
    <n v="2"/>
    <n v="495.15"/>
    <x v="0"/>
    <x v="1"/>
  </r>
  <r>
    <s v="IND-2023-1045"/>
    <x v="42"/>
    <s v="CUS-1017"/>
    <s v="Deepak Chopra"/>
    <s v="Ahmedabad"/>
    <x v="6"/>
    <x v="3"/>
    <x v="21"/>
    <x v="4"/>
    <n v="3398.3"/>
    <n v="2"/>
    <n v="590.23"/>
    <x v="4"/>
    <x v="1"/>
  </r>
  <r>
    <s v="IND-2023-1046"/>
    <x v="43"/>
    <s v="CUS-1004"/>
    <s v="Ananya Iyer"/>
    <s v="Chandigarh"/>
    <x v="4"/>
    <x v="2"/>
    <x v="21"/>
    <x v="4"/>
    <n v="5397.3"/>
    <n v="3"/>
    <n v="1110.22"/>
    <x v="1"/>
    <x v="1"/>
  </r>
  <r>
    <s v="IND-2023-1047"/>
    <x v="44"/>
    <s v="CUS-1002"/>
    <s v="Priya Patel"/>
    <s v="Kochi"/>
    <x v="9"/>
    <x v="0"/>
    <x v="3"/>
    <x v="0"/>
    <n v="3702.15"/>
    <n v="3"/>
    <n v="813.86"/>
    <x v="0"/>
    <x v="1"/>
  </r>
  <r>
    <s v="IND-2023-1048"/>
    <x v="45"/>
    <s v="CUS-1020"/>
    <s v="Shweta Tiwari"/>
    <s v="Patna"/>
    <x v="1"/>
    <x v="1"/>
    <x v="24"/>
    <x v="3"/>
    <n v="4084.05"/>
    <n v="1"/>
    <n v="558.79"/>
    <x v="4"/>
    <x v="1"/>
  </r>
  <r>
    <s v="IND-2023-1049"/>
    <x v="46"/>
    <s v="CUS-1003"/>
    <s v="Rahul Verma"/>
    <s v="Lucknow"/>
    <x v="10"/>
    <x v="2"/>
    <x v="25"/>
    <x v="4"/>
    <n v="4497"/>
    <n v="3"/>
    <n v="1140"/>
    <x v="1"/>
    <x v="4"/>
  </r>
  <r>
    <s v="IND-2023-1050"/>
    <x v="47"/>
    <s v="CUS-1024"/>
    <s v="Meera Nambiar"/>
    <s v="Kolkata"/>
    <x v="13"/>
    <x v="1"/>
    <x v="25"/>
    <x v="4"/>
    <n v="5396.4"/>
    <n v="4"/>
    <n v="1070.3"/>
    <x v="3"/>
    <x v="1"/>
  </r>
  <r>
    <s v="IND-2023-1051"/>
    <x v="48"/>
    <s v="CUS-1011"/>
    <s v="Aditya Joshi"/>
    <s v="Bhubaneswar"/>
    <x v="7"/>
    <x v="1"/>
    <x v="15"/>
    <x v="4"/>
    <n v="2398"/>
    <n v="2"/>
    <n v="580"/>
    <x v="0"/>
    <x v="1"/>
  </r>
  <r>
    <s v="IND-2023-1052"/>
    <x v="49"/>
    <s v="CUS-1012"/>
    <s v="Kavita Rao"/>
    <s v="Pune"/>
    <x v="5"/>
    <x v="3"/>
    <x v="4"/>
    <x v="1"/>
    <n v="26997"/>
    <n v="3"/>
    <n v="3600"/>
    <x v="4"/>
    <x v="1"/>
  </r>
  <r>
    <s v="IND-2023-1053"/>
    <x v="35"/>
    <s v="CUS-1017"/>
    <s v="Deepak Chopra"/>
    <s v="Patna"/>
    <x v="1"/>
    <x v="1"/>
    <x v="1"/>
    <x v="1"/>
    <n v="1528.2"/>
    <n v="2"/>
    <n v="292.64999999999998"/>
    <x v="0"/>
    <x v="2"/>
  </r>
  <r>
    <s v="IND-2023-1054"/>
    <x v="50"/>
    <s v="CUS-1014"/>
    <s v="Sunita Das"/>
    <s v="Bengaluru"/>
    <x v="0"/>
    <x v="0"/>
    <x v="10"/>
    <x v="4"/>
    <n v="7497"/>
    <n v="3"/>
    <n v="1950"/>
    <x v="0"/>
    <x v="4"/>
  </r>
  <r>
    <s v="IND-2023-1055"/>
    <x v="51"/>
    <s v="CUS-1013"/>
    <s v="Amit Mishra"/>
    <s v="Pune"/>
    <x v="5"/>
    <x v="3"/>
    <x v="26"/>
    <x v="2"/>
    <n v="525"/>
    <n v="1"/>
    <n v="175"/>
    <x v="1"/>
    <x v="1"/>
  </r>
  <r>
    <s v="IND-2023-1056"/>
    <x v="52"/>
    <s v="CUS-1024"/>
    <s v="Meera Nambiar"/>
    <s v="Pune"/>
    <x v="5"/>
    <x v="3"/>
    <x v="21"/>
    <x v="4"/>
    <n v="1999"/>
    <n v="1"/>
    <n v="520"/>
    <x v="1"/>
    <x v="1"/>
  </r>
  <r>
    <s v="IND-2023-1057"/>
    <x v="53"/>
    <s v="CUS-1001"/>
    <s v="Aarav Sharma"/>
    <s v="Patna"/>
    <x v="1"/>
    <x v="1"/>
    <x v="19"/>
    <x v="4"/>
    <n v="6444"/>
    <n v="4"/>
    <n v="1023"/>
    <x v="1"/>
    <x v="1"/>
  </r>
  <r>
    <s v="IND-2023-1058"/>
    <x v="54"/>
    <s v="CUS-1003"/>
    <s v="Rahul Verma"/>
    <s v="Kochi"/>
    <x v="9"/>
    <x v="0"/>
    <x v="17"/>
    <x v="0"/>
    <n v="79998"/>
    <n v="2"/>
    <n v="9600"/>
    <x v="3"/>
    <x v="1"/>
  </r>
  <r>
    <s v="IND-2023-1059"/>
    <x v="55"/>
    <s v="CUS-1006"/>
    <s v="Sneha Mukherjee"/>
    <s v="Bhubaneswar"/>
    <x v="7"/>
    <x v="1"/>
    <x v="27"/>
    <x v="3"/>
    <n v="1757.5"/>
    <n v="1"/>
    <n v="-263.62"/>
    <x v="1"/>
    <x v="3"/>
  </r>
  <r>
    <s v="IND-2023-1060"/>
    <x v="35"/>
    <s v="CUS-1006"/>
    <s v="Sneha Mukherjee"/>
    <s v="Hyderabad"/>
    <x v="8"/>
    <x v="0"/>
    <x v="17"/>
    <x v="0"/>
    <n v="31999.200000000001"/>
    <n v="1"/>
    <n v="-1199.8499999999999"/>
    <x v="0"/>
    <x v="1"/>
  </r>
  <r>
    <s v="IND-2023-1061"/>
    <x v="56"/>
    <s v="CUS-1007"/>
    <s v="Vikram Malhotra"/>
    <s v="Kochi"/>
    <x v="9"/>
    <x v="0"/>
    <x v="23"/>
    <x v="2"/>
    <n v="1499"/>
    <n v="1"/>
    <n v="360"/>
    <x v="1"/>
    <x v="1"/>
  </r>
  <r>
    <s v="IND-2023-1062"/>
    <x v="42"/>
    <s v="CUS-1021"/>
    <s v="Arjun Reddy"/>
    <s v="Chennai"/>
    <x v="2"/>
    <x v="0"/>
    <x v="20"/>
    <x v="3"/>
    <n v="6398"/>
    <n v="2"/>
    <n v="1100"/>
    <x v="3"/>
    <x v="1"/>
  </r>
  <r>
    <s v="IND-2023-1063"/>
    <x v="57"/>
    <s v="CUS-1010"/>
    <s v="Neha Singh"/>
    <s v="Kochi"/>
    <x v="9"/>
    <x v="0"/>
    <x v="7"/>
    <x v="1"/>
    <n v="35091"/>
    <n v="1"/>
    <n v="1175.75"/>
    <x v="0"/>
    <x v="1"/>
  </r>
  <r>
    <s v="IND-2023-1064"/>
    <x v="58"/>
    <s v="CUS-1017"/>
    <s v="Deepak Chopra"/>
    <s v="Jaipur"/>
    <x v="12"/>
    <x v="2"/>
    <x v="16"/>
    <x v="4"/>
    <n v="6552.15"/>
    <n v="3"/>
    <n v="-798.64"/>
    <x v="0"/>
    <x v="1"/>
  </r>
  <r>
    <s v="IND-2023-1065"/>
    <x v="59"/>
    <s v="CUS-1018"/>
    <s v="Divya Pillai"/>
    <s v="Jaipur"/>
    <x v="12"/>
    <x v="2"/>
    <x v="10"/>
    <x v="4"/>
    <n v="8496.6"/>
    <n v="4"/>
    <n v="1475.45"/>
    <x v="0"/>
    <x v="1"/>
  </r>
  <r>
    <s v="IND-2023-1066"/>
    <x v="60"/>
    <s v="CUS-1008"/>
    <s v="Pooja Nair"/>
    <s v="Mumbai"/>
    <x v="5"/>
    <x v="3"/>
    <x v="24"/>
    <x v="3"/>
    <n v="7738.2"/>
    <n v="2"/>
    <n v="795.15"/>
    <x v="1"/>
    <x v="1"/>
  </r>
  <r>
    <s v="IND-2023-1067"/>
    <x v="61"/>
    <s v="CUS-1006"/>
    <s v="Sneha Mukherjee"/>
    <s v="Indore"/>
    <x v="11"/>
    <x v="3"/>
    <x v="1"/>
    <x v="1"/>
    <n v="849"/>
    <n v="1"/>
    <n v="210"/>
    <x v="0"/>
    <x v="1"/>
  </r>
  <r>
    <s v="IND-2023-1068"/>
    <x v="62"/>
    <s v="CUS-1003"/>
    <s v="Rahul Verma"/>
    <s v="Jaipur"/>
    <x v="12"/>
    <x v="2"/>
    <x v="8"/>
    <x v="1"/>
    <n v="107074.5"/>
    <n v="3"/>
    <n v="0"/>
    <x v="4"/>
    <x v="0"/>
  </r>
  <r>
    <s v="IND-2023-1069"/>
    <x v="63"/>
    <s v="CUS-1018"/>
    <s v="Divya Pillai"/>
    <s v="Mumbai"/>
    <x v="5"/>
    <x v="3"/>
    <x v="20"/>
    <x v="3"/>
    <n v="9117.15"/>
    <n v="3"/>
    <n v="1290.1099999999999"/>
    <x v="0"/>
    <x v="2"/>
  </r>
  <r>
    <s v="IND-2023-1070"/>
    <x v="0"/>
    <s v="CUS-1021"/>
    <s v="Arjun Reddy"/>
    <s v="Bhubaneswar"/>
    <x v="7"/>
    <x v="1"/>
    <x v="17"/>
    <x v="0"/>
    <n v="119997"/>
    <n v="3"/>
    <n v="-17999.55"/>
    <x v="1"/>
    <x v="3"/>
  </r>
  <r>
    <s v="IND-2023-1071"/>
    <x v="36"/>
    <s v="CUS-1022"/>
    <s v="Tanvi Deshmukh"/>
    <s v="Pune"/>
    <x v="5"/>
    <x v="3"/>
    <x v="17"/>
    <x v="0"/>
    <n v="33999.15"/>
    <n v="1"/>
    <n v="300.11"/>
    <x v="3"/>
    <x v="1"/>
  </r>
  <r>
    <s v="IND-2023-1072"/>
    <x v="64"/>
    <s v="CUS-1014"/>
    <s v="Sunita Das"/>
    <s v="Chandigarh"/>
    <x v="4"/>
    <x v="2"/>
    <x v="6"/>
    <x v="2"/>
    <n v="2340"/>
    <n v="3"/>
    <n v="720"/>
    <x v="4"/>
    <x v="4"/>
  </r>
  <r>
    <s v="IND-2023-1073"/>
    <x v="65"/>
    <s v="CUS-1023"/>
    <s v="Gaurav Bansal"/>
    <s v="Patna"/>
    <x v="1"/>
    <x v="1"/>
    <x v="28"/>
    <x v="0"/>
    <n v="194997"/>
    <n v="3"/>
    <n v="-29249.55"/>
    <x v="4"/>
    <x v="3"/>
  </r>
  <r>
    <s v="IND-2023-1074"/>
    <x v="66"/>
    <s v="CUS-1003"/>
    <s v="Rahul Verma"/>
    <s v="Chennai"/>
    <x v="2"/>
    <x v="0"/>
    <x v="15"/>
    <x v="4"/>
    <n v="3057.45"/>
    <n v="3"/>
    <n v="-458.62"/>
    <x v="3"/>
    <x v="3"/>
  </r>
  <r>
    <s v="IND-2023-1075"/>
    <x v="67"/>
    <s v="CUS-1006"/>
    <s v="Sneha Mukherjee"/>
    <s v="Patna"/>
    <x v="1"/>
    <x v="1"/>
    <x v="11"/>
    <x v="0"/>
    <n v="2397"/>
    <n v="3"/>
    <n v="750"/>
    <x v="3"/>
    <x v="1"/>
  </r>
  <r>
    <s v="IND-2023-1076"/>
    <x v="68"/>
    <s v="CUS-1017"/>
    <s v="Deepak Chopra"/>
    <m/>
    <x v="7"/>
    <x v="1"/>
    <x v="19"/>
    <x v="4"/>
    <n v="1521.5"/>
    <n v="1"/>
    <n v="188.62"/>
    <x v="4"/>
    <x v="1"/>
  </r>
  <r>
    <s v="IND-2023-1077"/>
    <x v="69"/>
    <s v="CUS-1021"/>
    <s v="Arjun Reddy"/>
    <s v="Delhi"/>
    <x v="3"/>
    <x v="2"/>
    <x v="13"/>
    <x v="1"/>
    <n v="186966"/>
    <n v="4"/>
    <n v="-1545.5"/>
    <x v="3"/>
    <x v="4"/>
  </r>
  <r>
    <s v="IND-2023-1078"/>
    <x v="70"/>
    <s v="CUS-1010"/>
    <s v="Neha Singh"/>
    <s v="Indore"/>
    <x v="11"/>
    <x v="3"/>
    <x v="10"/>
    <x v="4"/>
    <n v="2374.0500000000002"/>
    <n v="1"/>
    <n v="556.29"/>
    <x v="3"/>
    <x v="1"/>
  </r>
  <r>
    <s v="IND-2023-1079"/>
    <x v="34"/>
    <s v="CUS-1002"/>
    <s v="Priya Patel"/>
    <s v="Indore"/>
    <x v="11"/>
    <x v="3"/>
    <x v="27"/>
    <x v="3"/>
    <n v="7400"/>
    <n v="4"/>
    <n v="1360"/>
    <x v="0"/>
    <x v="1"/>
  </r>
  <r>
    <s v="IND-2023-1080"/>
    <x v="71"/>
    <s v="CUS-1024"/>
    <s v="Meera Nambiar"/>
    <s v="Delhi"/>
    <x v="3"/>
    <x v="2"/>
    <x v="14"/>
    <x v="3"/>
    <n v="3596"/>
    <n v="4"/>
    <n v="-480"/>
    <x v="3"/>
    <x v="1"/>
  </r>
  <r>
    <s v="IND-2023-1081"/>
    <x v="72"/>
    <s v="CUS-1006"/>
    <s v="Sneha Mukherjee"/>
    <s v="Patna"/>
    <x v="1"/>
    <x v="1"/>
    <x v="29"/>
    <x v="3"/>
    <n v="18522.150000000001"/>
    <n v="3"/>
    <n v="2118.86"/>
    <x v="2"/>
    <x v="4"/>
  </r>
  <r>
    <s v="IND-2023-1082"/>
    <x v="73"/>
    <s v="CUS-1006"/>
    <s v="Sneha Mukherjee"/>
    <s v="Hyderabad"/>
    <x v="8"/>
    <x v="0"/>
    <x v="23"/>
    <x v="2"/>
    <n v="4047.3"/>
    <n v="3"/>
    <n v="742.72"/>
    <x v="0"/>
    <x v="1"/>
  </r>
  <r>
    <s v="IND-2023-1083"/>
    <x v="53"/>
    <s v="CUS-1019"/>
    <s v="Manish Agarwal"/>
    <s v="Kochi"/>
    <x v="9"/>
    <x v="0"/>
    <x v="4"/>
    <x v="1"/>
    <n v="28796.799999999999"/>
    <n v="4"/>
    <n v="-599.4"/>
    <x v="1"/>
    <x v="1"/>
  </r>
  <r>
    <s v="IND-2023-1084"/>
    <x v="74"/>
    <s v="CUS-1024"/>
    <s v="Meera Nambiar"/>
    <s v="Kochi"/>
    <x v="9"/>
    <x v="0"/>
    <x v="5"/>
    <x v="3"/>
    <n v="2693.25"/>
    <n v="3"/>
    <n v="523.69000000000005"/>
    <x v="3"/>
    <x v="1"/>
  </r>
  <r>
    <s v="IND-2023-1085"/>
    <x v="75"/>
    <s v="CUS-1009"/>
    <s v="Rajesh Kumar"/>
    <s v="Patna"/>
    <x v="1"/>
    <x v="1"/>
    <x v="28"/>
    <x v="0"/>
    <n v="165747.45000000001"/>
    <n v="3"/>
    <n v="-337.16"/>
    <x v="0"/>
    <x v="1"/>
  </r>
  <r>
    <s v="IND-2023-1086"/>
    <x v="76"/>
    <s v="CUS-1018"/>
    <s v="Divya Pillai"/>
    <s v="Jaipur"/>
    <x v="12"/>
    <x v="2"/>
    <x v="4"/>
    <x v="1"/>
    <n v="15298.3"/>
    <n v="2"/>
    <n v="375.23"/>
    <x v="0"/>
    <x v="1"/>
  </r>
  <r>
    <s v="IND-2023-1087"/>
    <x v="77"/>
    <s v="CUS-1005"/>
    <s v="Rohan Gupta"/>
    <s v="Ahmedabad"/>
    <x v="6"/>
    <x v="3"/>
    <x v="22"/>
    <x v="4"/>
    <n v="1230.25"/>
    <n v="1"/>
    <n v="261.44"/>
    <x v="3"/>
    <x v="1"/>
  </r>
  <r>
    <s v="IND-2023-1088"/>
    <x v="78"/>
    <s v="CUS-1010"/>
    <s v="Neha Singh"/>
    <s v="Delhi"/>
    <x v="3"/>
    <x v="2"/>
    <x v="17"/>
    <x v="0"/>
    <n v="143996.4"/>
    <n v="4"/>
    <n v="7200.3"/>
    <x v="4"/>
    <x v="1"/>
  </r>
  <r>
    <s v="IND-2023-1089"/>
    <x v="79"/>
    <s v="CUS-1016"/>
    <s v="Ritu Mehta"/>
    <s v="Lucknow"/>
    <x v="10"/>
    <x v="2"/>
    <x v="14"/>
    <x v="3"/>
    <n v="3416.2"/>
    <n v="4"/>
    <n v="-614.85"/>
    <x v="0"/>
    <x v="1"/>
  </r>
  <r>
    <s v="IND-2023-1090"/>
    <x v="80"/>
    <s v="CUS-1015"/>
    <s v="Karan Kapoor"/>
    <s v="Bengaluru"/>
    <x v="0"/>
    <x v="0"/>
    <x v="14"/>
    <x v="3"/>
    <n v="899"/>
    <n v="1"/>
    <n v="-120"/>
    <x v="0"/>
    <x v="2"/>
  </r>
  <r>
    <s v="IND-2023-1091"/>
    <x v="81"/>
    <s v="CUS-1004"/>
    <s v="Ananya Iyer"/>
    <s v="Patna"/>
    <x v="1"/>
    <x v="1"/>
    <x v="30"/>
    <x v="2"/>
    <n v="649"/>
    <n v="1"/>
    <n v="-97.35"/>
    <x v="4"/>
    <x v="3"/>
  </r>
  <r>
    <s v="IND-2023-1092"/>
    <x v="82"/>
    <s v="CUS-1009"/>
    <s v="Rajesh Kumar"/>
    <s v="Bhubaneswar"/>
    <x v="7"/>
    <x v="1"/>
    <x v="21"/>
    <x v="4"/>
    <n v="3598.2"/>
    <n v="2"/>
    <n v="0"/>
    <x v="3"/>
    <x v="0"/>
  </r>
  <r>
    <s v="IND-2023-1093"/>
    <x v="83"/>
    <s v="CUS-1015"/>
    <s v="Karan Kapoor"/>
    <s v="Chandigarh"/>
    <x v="4"/>
    <x v="2"/>
    <x v="1"/>
    <x v="1"/>
    <n v="764.1"/>
    <n v="1"/>
    <n v="146.32"/>
    <x v="1"/>
    <x v="1"/>
  </r>
  <r>
    <s v="IND-2023-1094"/>
    <x v="84"/>
    <s v="CUS-1006"/>
    <s v="Sneha Mukherjee"/>
    <s v="Mumbai"/>
    <x v="5"/>
    <x v="3"/>
    <x v="28"/>
    <x v="0"/>
    <n v="103998.39999999999"/>
    <n v="2"/>
    <n v="-5099.7"/>
    <x v="1"/>
    <x v="1"/>
  </r>
  <r>
    <s v="IND-2023-1095"/>
    <x v="85"/>
    <s v="CUS-1007"/>
    <s v="Vikram Malhotra"/>
    <s v="Chennai"/>
    <x v="2"/>
    <x v="0"/>
    <x v="19"/>
    <x v="4"/>
    <n v="1611"/>
    <n v="1"/>
    <n v="255.75"/>
    <x v="4"/>
    <x v="2"/>
  </r>
  <r>
    <s v="IND-2023-1096"/>
    <x v="86"/>
    <s v="CUS-1005"/>
    <s v="Rohan Gupta"/>
    <s v="Jaipur"/>
    <x v="12"/>
    <x v="2"/>
    <x v="13"/>
    <x v="1"/>
    <n v="131976"/>
    <n v="3"/>
    <n v="0"/>
    <x v="0"/>
    <x v="0"/>
  </r>
  <r>
    <s v="IND-2023-1097"/>
    <x v="54"/>
    <s v="CUS-1002"/>
    <s v="Priya Patel"/>
    <s v="Ahmedabad"/>
    <x v="6"/>
    <x v="3"/>
    <x v="5"/>
    <x v="3"/>
    <n v="3024"/>
    <n v="4"/>
    <n v="273"/>
    <x v="1"/>
    <x v="4"/>
  </r>
  <r>
    <s v="IND-2023-1098"/>
    <x v="87"/>
    <s v="CUS-1018"/>
    <s v="Divya Pillai"/>
    <s v="Ahmedabad"/>
    <x v="6"/>
    <x v="3"/>
    <x v="19"/>
    <x v="4"/>
    <n v="1790"/>
    <n v="1"/>
    <n v="390"/>
    <x v="1"/>
    <x v="1"/>
  </r>
  <r>
    <s v="IND-2023-1099"/>
    <x v="88"/>
    <s v="CUS-1024"/>
    <s v="Meera Nambiar"/>
    <s v="Chennai"/>
    <x v="2"/>
    <x v="0"/>
    <x v="22"/>
    <x v="4"/>
    <n v="1165.5"/>
    <n v="1"/>
    <n v="212.88"/>
    <x v="4"/>
    <x v="2"/>
  </r>
  <r>
    <s v="IND-2023-1100"/>
    <x v="89"/>
    <s v="CUS-1007"/>
    <s v="Vikram Malhotra"/>
    <s v="Patna"/>
    <x v="1"/>
    <x v="1"/>
    <x v="12"/>
    <x v="3"/>
    <n v="44996.4"/>
    <n v="4"/>
    <n v="-9549.7000000000007"/>
    <x v="3"/>
    <x v="1"/>
  </r>
  <r>
    <s v="IND-2023-1101"/>
    <x v="90"/>
    <s v="CUS-1010"/>
    <s v="Neha Singh"/>
    <s v="Patna"/>
    <x v="1"/>
    <x v="1"/>
    <x v="23"/>
    <x v="2"/>
    <n v="4796.8"/>
    <n v="4"/>
    <n v="540.6"/>
    <x v="0"/>
    <x v="1"/>
  </r>
  <r>
    <s v="IND-2023-1102"/>
    <x v="75"/>
    <s v="CUS-1023"/>
    <s v="Gaurav Bansal"/>
    <s v="Pune"/>
    <x v="5"/>
    <x v="3"/>
    <x v="8"/>
    <x v="1"/>
    <n v="41990"/>
    <n v="1"/>
    <n v="4500"/>
    <x v="0"/>
    <x v="1"/>
  </r>
  <r>
    <s v="IND-2023-1103"/>
    <x v="40"/>
    <s v="CUS-1006"/>
    <s v="Sneha Mukherjee"/>
    <s v="Hyderabad"/>
    <x v="8"/>
    <x v="0"/>
    <x v="11"/>
    <x v="0"/>
    <n v="799"/>
    <n v="1"/>
    <n v="250"/>
    <x v="1"/>
    <x v="4"/>
  </r>
  <r>
    <s v="IND-2023-1104"/>
    <x v="91"/>
    <s v="CUS-1003"/>
    <s v="Rahul Verma"/>
    <s v="Kochi"/>
    <x v="9"/>
    <x v="0"/>
    <x v="14"/>
    <x v="3"/>
    <n v="3056.6"/>
    <n v="4"/>
    <n v="-884.55"/>
    <x v="3"/>
    <x v="2"/>
  </r>
  <r>
    <s v="IND-2023-1105"/>
    <x v="92"/>
    <s v="CUS-1012"/>
    <s v="Kavita Rao"/>
    <s v="Patna"/>
    <x v="1"/>
    <x v="1"/>
    <x v="23"/>
    <x v="2"/>
    <n v="1499"/>
    <n v="1"/>
    <n v="360"/>
    <x v="0"/>
    <x v="1"/>
  </r>
  <r>
    <s v="IND-2023-1106"/>
    <x v="93"/>
    <s v="CUS-1003"/>
    <s v="Rahul Verma"/>
    <s v="Lucknow"/>
    <x v="10"/>
    <x v="2"/>
    <x v="2"/>
    <x v="2"/>
    <n v="1996"/>
    <n v="4"/>
    <n v="640"/>
    <x v="0"/>
    <x v="1"/>
  </r>
  <r>
    <s v="IND-2023-1107"/>
    <x v="94"/>
    <s v="CUS-1009"/>
    <s v="Rajesh Kumar"/>
    <s v="Mumbai"/>
    <x v="5"/>
    <x v="3"/>
    <x v="5"/>
    <x v="3"/>
    <n v="1795.5"/>
    <n v="2"/>
    <n v="349.12"/>
    <x v="3"/>
    <x v="4"/>
  </r>
  <r>
    <s v="IND-2023-1108"/>
    <x v="95"/>
    <s v="CUS-1023"/>
    <s v="Gaurav Bansal"/>
    <s v="Kochi"/>
    <x v="9"/>
    <x v="0"/>
    <x v="13"/>
    <x v="1"/>
    <n v="46741.5"/>
    <n v="1"/>
    <n v="0"/>
    <x v="0"/>
    <x v="0"/>
  </r>
  <r>
    <s v="IND-2023-1109"/>
    <x v="96"/>
    <s v="CUS-1020"/>
    <s v="Shweta Tiwari"/>
    <s v="Indore"/>
    <x v="11"/>
    <x v="3"/>
    <x v="25"/>
    <x v="4"/>
    <n v="2398.4"/>
    <n v="2"/>
    <n v="310.3"/>
    <x v="1"/>
    <x v="4"/>
  </r>
  <r>
    <s v="IND-2023-1110"/>
    <x v="97"/>
    <s v="CUS-1005"/>
    <s v="Rohan Gupta"/>
    <s v="Kochi"/>
    <x v="9"/>
    <x v="0"/>
    <x v="16"/>
    <x v="4"/>
    <n v="8276.4"/>
    <n v="4"/>
    <n v="-1409.7"/>
    <x v="1"/>
    <x v="1"/>
  </r>
  <r>
    <s v="IND-2023-1111"/>
    <x v="98"/>
    <s v="CUS-1021"/>
    <s v="Arjun Reddy"/>
    <s v="Chennai"/>
    <x v="2"/>
    <x v="0"/>
    <x v="5"/>
    <x v="3"/>
    <n v="2409.75"/>
    <n v="3"/>
    <n v="-361.46"/>
    <x v="4"/>
    <x v="3"/>
  </r>
  <r>
    <s v="IND-2023-1112"/>
    <x v="38"/>
    <s v="CUS-1011"/>
    <s v="Aditya Joshi"/>
    <s v="Delhi"/>
    <x v="3"/>
    <x v="2"/>
    <x v="30"/>
    <x v="2"/>
    <n v="2336.4"/>
    <n v="4"/>
    <n v="685.3"/>
    <x v="0"/>
    <x v="1"/>
  </r>
  <r>
    <s v="IND-2023-1113"/>
    <x v="99"/>
    <s v="CUS-1010"/>
    <s v="Neha Singh"/>
    <s v="Chennai"/>
    <x v="2"/>
    <x v="0"/>
    <x v="11"/>
    <x v="0"/>
    <n v="639.20000000000005"/>
    <n v="1"/>
    <n v="130.15"/>
    <x v="3"/>
    <x v="1"/>
  </r>
  <r>
    <s v="IND-2023-1114"/>
    <x v="18"/>
    <s v="CUS-1005"/>
    <s v="Rohan Gupta"/>
    <s v="Hyderabad"/>
    <x v="8"/>
    <x v="0"/>
    <x v="3"/>
    <x v="0"/>
    <n v="3312.45"/>
    <n v="3"/>
    <n v="521.59"/>
    <x v="1"/>
    <x v="1"/>
  </r>
  <r>
    <s v="IND-2023-1115"/>
    <x v="100"/>
    <s v="CUS-1017"/>
    <s v="Deepak Chopra"/>
    <s v="Kolkata"/>
    <x v="13"/>
    <x v="1"/>
    <x v="19"/>
    <x v="4"/>
    <n v="3580"/>
    <n v="2"/>
    <n v="780"/>
    <x v="3"/>
    <x v="1"/>
  </r>
  <r>
    <s v="IND-2023-1116"/>
    <x v="101"/>
    <s v="CUS-1017"/>
    <s v="Deepak Chopra"/>
    <s v="Indore"/>
    <x v="11"/>
    <x v="3"/>
    <x v="11"/>
    <x v="0"/>
    <n v="679.15"/>
    <n v="1"/>
    <n v="160.11000000000001"/>
    <x v="0"/>
    <x v="1"/>
  </r>
  <r>
    <s v="IND-2023-1117"/>
    <x v="102"/>
    <s v="CUS-1007"/>
    <s v="Vikram Malhotra"/>
    <s v="Delhi"/>
    <x v="3"/>
    <x v="2"/>
    <x v="7"/>
    <x v="1"/>
    <n v="124768"/>
    <n v="4"/>
    <n v="-6994"/>
    <x v="0"/>
    <x v="1"/>
  </r>
  <r>
    <s v="IND-2023-1118"/>
    <x v="103"/>
    <s v="CUS-1012"/>
    <s v="Kavita Rao"/>
    <s v="Delhi"/>
    <x v="3"/>
    <x v="2"/>
    <x v="26"/>
    <x v="2"/>
    <n v="446.25"/>
    <n v="1"/>
    <n v="115.94"/>
    <x v="1"/>
    <x v="1"/>
  </r>
  <r>
    <s v="IND-2023-1119"/>
    <x v="104"/>
    <s v="CUS-1005"/>
    <s v="Rohan Gupta"/>
    <s v="Chandigarh"/>
    <x v="4"/>
    <x v="2"/>
    <x v="14"/>
    <x v="3"/>
    <n v="2292.4499999999998"/>
    <n v="3"/>
    <n v="-663.41"/>
    <x v="1"/>
    <x v="1"/>
  </r>
  <r>
    <s v="IND-2023-1120"/>
    <x v="105"/>
    <s v="CUS-1018"/>
    <s v="Divya Pillai"/>
    <s v="Patna"/>
    <x v="1"/>
    <x v="1"/>
    <x v="8"/>
    <x v="1"/>
    <n v="39890.5"/>
    <n v="1"/>
    <n v="2925.38"/>
    <x v="4"/>
    <x v="1"/>
  </r>
  <r>
    <s v="IND-2023-1121"/>
    <x v="106"/>
    <s v="CUS-1013"/>
    <s v="Amit Mishra"/>
    <s v="Lucknow"/>
    <x v="10"/>
    <x v="2"/>
    <x v="31"/>
    <x v="0"/>
    <n v="43998"/>
    <n v="2"/>
    <n v="4800"/>
    <x v="5"/>
    <x v="1"/>
  </r>
  <r>
    <s v="IND-2023-1122"/>
    <x v="94"/>
    <s v="CUS-1011"/>
    <s v="Aditya Joshi"/>
    <s v="Kolkata"/>
    <x v="13"/>
    <x v="1"/>
    <x v="4"/>
    <x v="1"/>
    <n v="17998"/>
    <n v="2"/>
    <n v="2400"/>
    <x v="1"/>
    <x v="1"/>
  </r>
  <r>
    <s v="IND-2023-1123"/>
    <x v="107"/>
    <s v="CUS-1002"/>
    <s v="Priya Patel"/>
    <s v="Lucknow"/>
    <x v="10"/>
    <x v="2"/>
    <x v="5"/>
    <x v="3"/>
    <n v="803.25"/>
    <n v="1"/>
    <n v="103.69"/>
    <x v="1"/>
    <x v="1"/>
  </r>
  <r>
    <s v="IND-2023-1124"/>
    <x v="11"/>
    <s v="CUS-1006"/>
    <s v="Sneha Mukherjee"/>
    <s v="Bhubaneswar"/>
    <x v="7"/>
    <x v="1"/>
    <x v="10"/>
    <x v="4"/>
    <n v="7122.15"/>
    <n v="3"/>
    <n v="1668.86"/>
    <x v="3"/>
    <x v="1"/>
  </r>
  <r>
    <s v="IND-2023-1125"/>
    <x v="108"/>
    <s v="CUS-1011"/>
    <s v="Aditya Joshi"/>
    <s v="Chandigarh"/>
    <x v="4"/>
    <x v="2"/>
    <x v="29"/>
    <x v="3"/>
    <n v="5849.1"/>
    <n v="1"/>
    <n v="462.57"/>
    <x v="0"/>
    <x v="1"/>
  </r>
  <r>
    <s v="IND-2023-1126"/>
    <x v="109"/>
    <s v="CUS-1018"/>
    <s v="Divya Pillai"/>
    <s v="Pune"/>
    <x v="5"/>
    <x v="3"/>
    <x v="27"/>
    <x v="3"/>
    <n v="1665"/>
    <n v="1"/>
    <n v="201.25"/>
    <x v="3"/>
    <x v="1"/>
  </r>
  <r>
    <s v="IND-2023-1127"/>
    <x v="68"/>
    <s v="CUS-1010"/>
    <s v="Neha Singh"/>
    <s v="Chennai"/>
    <x v="2"/>
    <x v="0"/>
    <x v="7"/>
    <x v="1"/>
    <n v="31192"/>
    <n v="1"/>
    <n v="-1748.5"/>
    <x v="3"/>
    <x v="1"/>
  </r>
  <r>
    <s v="IND-2023-1128"/>
    <x v="110"/>
    <s v="CUS-1017"/>
    <s v="Deepak Chopra"/>
    <s v="Jaipur"/>
    <x v="12"/>
    <x v="2"/>
    <x v="10"/>
    <x v="4"/>
    <n v="8496.6"/>
    <n v="4"/>
    <n v="1475.45"/>
    <x v="0"/>
    <x v="1"/>
  </r>
  <r>
    <s v="IND-2023-1129"/>
    <x v="0"/>
    <s v="CUS-1003"/>
    <s v="Rahul Verma"/>
    <s v="Lucknow"/>
    <x v="10"/>
    <x v="2"/>
    <x v="30"/>
    <x v="2"/>
    <n v="616.54999999999995"/>
    <n v="1"/>
    <n v="195.66"/>
    <x v="2"/>
    <x v="1"/>
  </r>
  <r>
    <s v="IND-2023-1130"/>
    <x v="111"/>
    <s v="CUS-1003"/>
    <s v="Rahul Verma"/>
    <s v="Hyderabad"/>
    <x v="8"/>
    <x v="0"/>
    <x v="22"/>
    <x v="4"/>
    <n v="1165.5"/>
    <n v="1"/>
    <n v="212.88"/>
    <x v="3"/>
    <x v="1"/>
  </r>
  <r>
    <s v="IND-2023-1131"/>
    <x v="112"/>
    <s v="CUS-1003"/>
    <s v="Rahul Verma"/>
    <s v="Patna"/>
    <x v="1"/>
    <x v="1"/>
    <x v="12"/>
    <x v="3"/>
    <n v="29997.599999999999"/>
    <n v="3"/>
    <n v="-9974.5499999999993"/>
    <x v="0"/>
    <x v="2"/>
  </r>
  <r>
    <s v="IND-2023-1132"/>
    <x v="86"/>
    <s v="CUS-1001"/>
    <s v="Aarav Sharma"/>
    <s v="Bengaluru"/>
    <x v="0"/>
    <x v="0"/>
    <x v="20"/>
    <x v="3"/>
    <n v="3199"/>
    <n v="1"/>
    <n v="550"/>
    <x v="1"/>
    <x v="1"/>
  </r>
  <r>
    <s v="IND-2023-1133"/>
    <x v="113"/>
    <s v="CUS-1018"/>
    <s v="Divya Pillai"/>
    <s v="Hyderabad"/>
    <x v="8"/>
    <x v="0"/>
    <x v="21"/>
    <x v="4"/>
    <n v="1999"/>
    <n v="1"/>
    <n v="520"/>
    <x v="0"/>
    <x v="4"/>
  </r>
  <r>
    <s v="IND-2023-1134"/>
    <x v="77"/>
    <s v="CUS-1025"/>
    <s v="Siddharth Sen"/>
    <s v="Lucknow"/>
    <x v="10"/>
    <x v="2"/>
    <x v="16"/>
    <x v="4"/>
    <n v="1954.15"/>
    <n v="1"/>
    <n v="-438.64"/>
    <x v="0"/>
    <x v="1"/>
  </r>
  <r>
    <s v="IND-2023-1135"/>
    <x v="114"/>
    <s v="CUS-1009"/>
    <s v="Rajesh Kumar"/>
    <s v="Kolkata"/>
    <x v="13"/>
    <x v="1"/>
    <x v="10"/>
    <x v="4"/>
    <n v="9496.2000000000007"/>
    <n v="4"/>
    <n v="2225.15"/>
    <x v="4"/>
    <x v="1"/>
  </r>
  <r>
    <s v="IND-2023-1136"/>
    <x v="115"/>
    <s v="CUS-1004"/>
    <s v="Ananya Iyer"/>
    <s v="Ahmedabad"/>
    <x v="6"/>
    <x v="3"/>
    <x v="16"/>
    <x v="4"/>
    <n v="6207.3"/>
    <n v="3"/>
    <n v="-1057.28"/>
    <x v="3"/>
    <x v="4"/>
  </r>
  <r>
    <s v="IND-2023-1137"/>
    <x v="116"/>
    <s v="CUS-1017"/>
    <s v="Deepak Chopra"/>
    <s v="Kolkata"/>
    <x v="13"/>
    <x v="1"/>
    <x v="2"/>
    <x v="2"/>
    <n v="1272.45"/>
    <n v="3"/>
    <n v="311.58999999999997"/>
    <x v="0"/>
    <x v="1"/>
  </r>
  <r>
    <s v="IND-2023-1138"/>
    <x v="117"/>
    <s v="CUS-1019"/>
    <s v="Manish Agarwal"/>
    <s v="Hyderabad"/>
    <x v="8"/>
    <x v="0"/>
    <x v="7"/>
    <x v="1"/>
    <n v="38990"/>
    <n v="1"/>
    <n v="4100"/>
    <x v="0"/>
    <x v="1"/>
  </r>
  <r>
    <s v="IND-2023-1139"/>
    <x v="15"/>
    <s v="CUS-1001"/>
    <s v="Aarav Sharma"/>
    <s v="Lucknow"/>
    <x v="10"/>
    <x v="2"/>
    <x v="10"/>
    <x v="4"/>
    <n v="8996.4"/>
    <n v="4"/>
    <n v="1850.3"/>
    <x v="3"/>
    <x v="1"/>
  </r>
  <r>
    <s v="IND-2023-1140"/>
    <x v="104"/>
    <s v="CUS-1005"/>
    <s v="Rohan Gupta"/>
    <s v="Lucknow"/>
    <x v="10"/>
    <x v="2"/>
    <x v="31"/>
    <x v="0"/>
    <n v="41798.1"/>
    <n v="2"/>
    <n v="3150.07"/>
    <x v="0"/>
    <x v="1"/>
  </r>
  <r>
    <s v="IND-2023-1141"/>
    <x v="118"/>
    <s v="CUS-1007"/>
    <s v="Vikram Malhotra"/>
    <s v="Chennai"/>
    <x v="2"/>
    <x v="0"/>
    <x v="31"/>
    <x v="0"/>
    <n v="41798.1"/>
    <n v="2"/>
    <n v="-6269.71"/>
    <x v="3"/>
    <x v="3"/>
  </r>
  <r>
    <s v="IND-2023-1142"/>
    <x v="119"/>
    <s v="CUS-1014"/>
    <s v="Sunita Das"/>
    <s v="Ahmedabad"/>
    <x v="6"/>
    <x v="3"/>
    <x v="22"/>
    <x v="4"/>
    <n v="2072"/>
    <n v="2"/>
    <n v="231.5"/>
    <x v="0"/>
    <x v="1"/>
  </r>
  <r>
    <s v="IND-2023-1143"/>
    <x v="99"/>
    <s v="CUS-1009"/>
    <s v="Rajesh Kumar"/>
    <s v="Bhubaneswar"/>
    <x v="7"/>
    <x v="1"/>
    <x v="8"/>
    <x v="1"/>
    <n v="142766"/>
    <n v="4"/>
    <n v="-895.5"/>
    <x v="0"/>
    <x v="1"/>
  </r>
  <r>
    <s v="IND-2023-1144"/>
    <x v="120"/>
    <s v="CUS-1020"/>
    <s v="Shweta Tiwari"/>
    <s v="Hyderabad"/>
    <x v="8"/>
    <x v="0"/>
    <x v="30"/>
    <x v="2"/>
    <n v="1947"/>
    <n v="3"/>
    <n v="660"/>
    <x v="0"/>
    <x v="1"/>
  </r>
  <r>
    <s v="IND-2023-1145"/>
    <x v="121"/>
    <s v="CUS-1020"/>
    <s v="Shweta Tiwari"/>
    <s v="Kolkata"/>
    <x v="13"/>
    <x v="1"/>
    <x v="16"/>
    <x v="4"/>
    <n v="8276.4"/>
    <n v="4"/>
    <n v="-1409.7"/>
    <x v="0"/>
    <x v="2"/>
  </r>
  <r>
    <s v="IND-2023-1146"/>
    <x v="122"/>
    <s v="CUS-1011"/>
    <s v="Aditya Joshi"/>
    <s v="Delhi"/>
    <x v="3"/>
    <x v="2"/>
    <x v="3"/>
    <x v="0"/>
    <n v="4416.6000000000004"/>
    <n v="4"/>
    <n v="695.45"/>
    <x v="1"/>
    <x v="1"/>
  </r>
  <r>
    <s v="IND-2023-1147"/>
    <x v="123"/>
    <s v="CUS-1004"/>
    <s v="Ananya Iyer"/>
    <s v="Patna"/>
    <x v="1"/>
    <x v="1"/>
    <x v="10"/>
    <x v="4"/>
    <n v="4498.2"/>
    <n v="2"/>
    <n v="925.15"/>
    <x v="0"/>
    <x v="4"/>
  </r>
  <r>
    <s v="IND-2023-1148"/>
    <x v="100"/>
    <s v="CUS-1003"/>
    <s v="Rahul Verma"/>
    <s v="Indore"/>
    <x v="11"/>
    <x v="3"/>
    <x v="11"/>
    <x v="0"/>
    <n v="759.05"/>
    <n v="1"/>
    <n v="220.04"/>
    <x v="0"/>
    <x v="2"/>
  </r>
  <r>
    <s v="IND-2023-1149"/>
    <x v="124"/>
    <s v="CUS-1018"/>
    <s v="Divya Pillai"/>
    <s v="Chennai"/>
    <x v="2"/>
    <x v="0"/>
    <x v="16"/>
    <x v="4"/>
    <n v="2299"/>
    <n v="1"/>
    <n v="-180"/>
    <x v="0"/>
    <x v="2"/>
  </r>
  <r>
    <s v="IND-2023-1150"/>
    <x v="18"/>
    <s v="CUS-1022"/>
    <s v="Tanvi Deshmukh"/>
    <s v="Indore"/>
    <x v="11"/>
    <x v="3"/>
    <x v="17"/>
    <x v="0"/>
    <n v="31999.200000000001"/>
    <n v="1"/>
    <n v="-1199.8499999999999"/>
    <x v="0"/>
    <x v="1"/>
  </r>
  <r>
    <s v="IND-2023-1151"/>
    <x v="56"/>
    <s v="CUS-1007"/>
    <s v="Vikram Malhotra"/>
    <s v="Kolkata"/>
    <x v="13"/>
    <x v="1"/>
    <x v="18"/>
    <x v="1"/>
    <n v="4036.5"/>
    <n v="3"/>
    <n v="713.62"/>
    <x v="0"/>
    <x v="1"/>
  </r>
  <r>
    <s v="IND-2023-1152"/>
    <x v="125"/>
    <s v="CUS-1011"/>
    <s v="Aditya Joshi"/>
    <s v="Jaipur"/>
    <x v="12"/>
    <x v="2"/>
    <x v="6"/>
    <x v="2"/>
    <n v="2340"/>
    <n v="3"/>
    <n v="720"/>
    <x v="4"/>
    <x v="1"/>
  </r>
  <r>
    <s v="IND-2023-1153"/>
    <x v="72"/>
    <s v="CUS-1004"/>
    <s v="Ananya Iyer"/>
    <s v="Pune"/>
    <x v="5"/>
    <x v="3"/>
    <x v="14"/>
    <x v="3"/>
    <n v="719.2"/>
    <n v="1"/>
    <n v="-254.85"/>
    <x v="0"/>
    <x v="1"/>
  </r>
  <r>
    <s v="IND-2023-1154"/>
    <x v="72"/>
    <s v="CUS-1001"/>
    <s v="Aarav Sharma"/>
    <s v="Hyderabad"/>
    <x v="8"/>
    <x v="0"/>
    <x v="2"/>
    <x v="2"/>
    <n v="399.2"/>
    <n v="1"/>
    <n v="85.15"/>
    <x v="3"/>
    <x v="1"/>
  </r>
  <r>
    <s v="IND-2023-1155"/>
    <x v="126"/>
    <s v="CUS-1023"/>
    <s v="Gaurav Bansal"/>
    <s v="Hyderabad"/>
    <x v="8"/>
    <x v="0"/>
    <x v="22"/>
    <x v="4"/>
    <n v="3496.5"/>
    <n v="3"/>
    <n v="638.62"/>
    <x v="1"/>
    <x v="4"/>
  </r>
  <r>
    <s v="IND-2023-1156"/>
    <x v="44"/>
    <s v="CUS-1019"/>
    <s v="Manish Agarwal"/>
    <s v="Bengaluru"/>
    <x v="0"/>
    <x v="0"/>
    <x v="19"/>
    <x v="4"/>
    <n v="4833"/>
    <n v="3"/>
    <n v="767.25"/>
    <x v="0"/>
    <x v="1"/>
  </r>
  <r>
    <s v="IND-2023-1157"/>
    <x v="61"/>
    <s v="CUS-1002"/>
    <s v="Priya Patel"/>
    <s v="Ahmedabad"/>
    <x v="6"/>
    <x v="3"/>
    <x v="27"/>
    <x v="3"/>
    <n v="7400"/>
    <n v="4"/>
    <n v="1360"/>
    <x v="0"/>
    <x v="1"/>
  </r>
  <r>
    <s v="IND-2023-1158"/>
    <x v="85"/>
    <s v="CUS-1014"/>
    <s v="Sunita Das"/>
    <s v="Lucknow"/>
    <x v="10"/>
    <x v="2"/>
    <x v="25"/>
    <x v="4"/>
    <n v="4796.8"/>
    <n v="4"/>
    <n v="620.6"/>
    <x v="0"/>
    <x v="1"/>
  </r>
  <r>
    <s v="IND-2023-1159"/>
    <x v="7"/>
    <s v="CUS-1021"/>
    <s v="Arjun Reddy"/>
    <s v="Patna"/>
    <x v="1"/>
    <x v="1"/>
    <x v="7"/>
    <x v="1"/>
    <n v="38990"/>
    <n v="1"/>
    <n v="4100"/>
    <x v="4"/>
    <x v="1"/>
  </r>
  <r>
    <s v="IND-2023-1160"/>
    <x v="127"/>
    <s v="CUS-1025"/>
    <s v="Siddharth Sen"/>
    <s v="Bengaluru"/>
    <x v="0"/>
    <x v="0"/>
    <x v="16"/>
    <x v="4"/>
    <n v="6897"/>
    <n v="3"/>
    <n v="-540"/>
    <x v="1"/>
    <x v="1"/>
  </r>
  <r>
    <s v="IND-2023-1161"/>
    <x v="128"/>
    <s v="CUS-1013"/>
    <s v="Amit Mishra"/>
    <s v="Pune"/>
    <x v="5"/>
    <x v="3"/>
    <x v="30"/>
    <x v="2"/>
    <n v="616.54999999999995"/>
    <n v="1"/>
    <n v="195.66"/>
    <x v="0"/>
    <x v="1"/>
  </r>
  <r>
    <s v="IND-2023-1162"/>
    <x v="129"/>
    <s v="CUS-1016"/>
    <s v="Ritu Mehta"/>
    <s v="Kochi"/>
    <x v="9"/>
    <x v="0"/>
    <x v="11"/>
    <x v="0"/>
    <n v="1598"/>
    <n v="2"/>
    <n v="500"/>
    <x v="0"/>
    <x v="1"/>
  </r>
  <r>
    <s v="IND-2023-1163"/>
    <x v="116"/>
    <s v="CUS-1005"/>
    <s v="Rohan Gupta"/>
    <s v="Chandigarh"/>
    <x v="4"/>
    <x v="2"/>
    <x v="30"/>
    <x v="2"/>
    <n v="649"/>
    <n v="1"/>
    <n v="220"/>
    <x v="0"/>
    <x v="1"/>
  </r>
  <r>
    <s v="IND-2023-1164"/>
    <x v="130"/>
    <s v="CUS-1015"/>
    <s v="Karan Kapoor"/>
    <s v="Ahmedabad"/>
    <x v="6"/>
    <x v="3"/>
    <x v="30"/>
    <x v="2"/>
    <n v="1168.2"/>
    <n v="2"/>
    <n v="342.65"/>
    <x v="1"/>
    <x v="1"/>
  </r>
  <r>
    <s v="IND-2023-1165"/>
    <x v="131"/>
    <s v="CUS-1001"/>
    <s v="Aarav Sharma"/>
    <s v="Bhubaneswar"/>
    <x v="7"/>
    <x v="1"/>
    <x v="23"/>
    <x v="2"/>
    <n v="2698.2"/>
    <n v="2"/>
    <n v="495.15"/>
    <x v="1"/>
    <x v="1"/>
  </r>
  <r>
    <s v="IND-2023-1166"/>
    <x v="132"/>
    <s v="CUS-1023"/>
    <s v="Gaurav Bansal"/>
    <s v="Delhi"/>
    <x v="3"/>
    <x v="2"/>
    <x v="31"/>
    <x v="0"/>
    <n v="83596.2"/>
    <n v="4"/>
    <n v="6300.15"/>
    <x v="1"/>
    <x v="1"/>
  </r>
  <r>
    <s v="IND-2023-1167"/>
    <x v="101"/>
    <s v="CUS-1014"/>
    <s v="Sunita Das"/>
    <s v="Indore"/>
    <x v="11"/>
    <x v="3"/>
    <x v="6"/>
    <x v="2"/>
    <n v="1872"/>
    <n v="3"/>
    <n v="369"/>
    <x v="3"/>
    <x v="1"/>
  </r>
  <r>
    <s v="IND-2023-1168"/>
    <x v="35"/>
    <s v="CUS-1006"/>
    <s v="Sneha Mukherjee"/>
    <s v="Bengaluru"/>
    <x v="0"/>
    <x v="0"/>
    <x v="13"/>
    <x v="1"/>
    <n v="109980"/>
    <n v="2"/>
    <n v="11600"/>
    <x v="1"/>
    <x v="4"/>
  </r>
  <r>
    <s v="IND-2023-1169"/>
    <x v="58"/>
    <s v="CUS-1017"/>
    <s v="Deepak Chopra"/>
    <s v="Kolkata"/>
    <x v="13"/>
    <x v="1"/>
    <x v="1"/>
    <x v="1"/>
    <n v="2292.3000000000002"/>
    <n v="3"/>
    <n v="438.98"/>
    <x v="1"/>
    <x v="1"/>
  </r>
  <r>
    <s v="IND-2023-1170"/>
    <x v="133"/>
    <s v="CUS-1012"/>
    <s v="Kavita Rao"/>
    <s v="Indore"/>
    <x v="11"/>
    <x v="3"/>
    <x v="28"/>
    <x v="0"/>
    <n v="55249.15"/>
    <n v="1"/>
    <n v="-112.39"/>
    <x v="1"/>
    <x v="2"/>
  </r>
  <r>
    <s v="IND-2023-1171"/>
    <x v="134"/>
    <s v="CUS-1002"/>
    <s v="Priya Patel"/>
    <s v="Bengaluru"/>
    <x v="0"/>
    <x v="0"/>
    <x v="19"/>
    <x v="4"/>
    <n v="5101.5"/>
    <n v="3"/>
    <n v="968.62"/>
    <x v="3"/>
    <x v="1"/>
  </r>
  <r>
    <s v="IND-2023-1172"/>
    <x v="135"/>
    <s v="CUS-1020"/>
    <s v="Shweta Tiwari"/>
    <s v="Kochi"/>
    <x v="9"/>
    <x v="0"/>
    <x v="0"/>
    <x v="0"/>
    <n v="4316.3999999999996"/>
    <n v="4"/>
    <n v="680.3"/>
    <x v="3"/>
    <x v="1"/>
  </r>
  <r>
    <s v="IND-2023-1173"/>
    <x v="136"/>
    <s v="CUS-1014"/>
    <s v="Sunita Das"/>
    <s v="Mumbai"/>
    <x v="5"/>
    <x v="3"/>
    <x v="17"/>
    <x v="0"/>
    <n v="101997.45"/>
    <n v="3"/>
    <n v="900.34"/>
    <x v="0"/>
    <x v="1"/>
  </r>
  <r>
    <s v="IND-2023-1174"/>
    <x v="137"/>
    <s v="CUS-1019"/>
    <s v="Manish Agarwal"/>
    <s v="Bengaluru"/>
    <x v="0"/>
    <x v="0"/>
    <x v="26"/>
    <x v="2"/>
    <n v="1575"/>
    <n v="3"/>
    <n v="525"/>
    <x v="0"/>
    <x v="1"/>
  </r>
  <r>
    <s v="IND-2023-1175"/>
    <x v="138"/>
    <s v="CUS-1017"/>
    <s v="Deepak Chopra"/>
    <s v="Kochi"/>
    <x v="9"/>
    <x v="0"/>
    <x v="2"/>
    <x v="2"/>
    <n v="1996"/>
    <n v="4"/>
    <n v="640"/>
    <x v="0"/>
    <x v="1"/>
  </r>
  <r>
    <s v="IND-2023-1176"/>
    <x v="139"/>
    <s v="CUS-1006"/>
    <s v="Sneha Mukherjee"/>
    <s v="Kolkata"/>
    <x v="13"/>
    <x v="1"/>
    <x v="12"/>
    <x v="3"/>
    <n v="47496.2"/>
    <n v="4"/>
    <n v="-7674.85"/>
    <x v="0"/>
    <x v="1"/>
  </r>
  <r>
    <s v="IND-2023-1177"/>
    <x v="100"/>
    <s v="CUS-1008"/>
    <s v="Pooja Nair"/>
    <s v="Mumbai"/>
    <x v="5"/>
    <x v="3"/>
    <x v="7"/>
    <x v="1"/>
    <n v="70182"/>
    <n v="2"/>
    <n v="2351.5"/>
    <x v="1"/>
    <x v="1"/>
  </r>
  <r>
    <s v="IND-2023-1178"/>
    <x v="140"/>
    <s v="CUS-1018"/>
    <s v="Divya Pillai"/>
    <s v="Delhi"/>
    <x v="3"/>
    <x v="2"/>
    <x v="1"/>
    <x v="1"/>
    <n v="721.65"/>
    <n v="1"/>
    <n v="114.49"/>
    <x v="1"/>
    <x v="1"/>
  </r>
  <r>
    <s v="IND-2023-1179"/>
    <x v="141"/>
    <s v="CUS-1007"/>
    <s v="Vikram Malhotra"/>
    <s v="Jaipur"/>
    <x v="12"/>
    <x v="2"/>
    <x v="11"/>
    <x v="0"/>
    <n v="679.15"/>
    <n v="1"/>
    <n v="160.11000000000001"/>
    <x v="4"/>
    <x v="1"/>
  </r>
  <r>
    <s v="IND-2023-1180"/>
    <x v="142"/>
    <s v="CUS-1025"/>
    <s v="Siddharth Sen"/>
    <s v="Kochi"/>
    <x v="9"/>
    <x v="0"/>
    <x v="23"/>
    <x v="2"/>
    <n v="2998"/>
    <n v="2"/>
    <n v="720"/>
    <x v="1"/>
    <x v="4"/>
  </r>
  <r>
    <s v="IND-2023-1181"/>
    <x v="143"/>
    <s v="CUS-1005"/>
    <s v="Rohan Gupta"/>
    <s v="Mumbai"/>
    <x v="5"/>
    <x v="3"/>
    <x v="17"/>
    <x v="0"/>
    <n v="119997"/>
    <n v="3"/>
    <n v="14400"/>
    <x v="0"/>
    <x v="4"/>
  </r>
  <r>
    <s v="IND-2023-1182"/>
    <x v="144"/>
    <s v="CUS-1017"/>
    <s v="Deepak Chopra"/>
    <s v="Patna"/>
    <x v="1"/>
    <x v="1"/>
    <x v="14"/>
    <x v="3"/>
    <n v="3596"/>
    <n v="4"/>
    <n v="-480"/>
    <x v="4"/>
    <x v="1"/>
  </r>
  <r>
    <s v="IND-2023-1183"/>
    <x v="59"/>
    <s v="CUS-1010"/>
    <s v="Neha Singh"/>
    <s v="Jaipur"/>
    <x v="12"/>
    <x v="2"/>
    <x v="3"/>
    <x v="0"/>
    <n v="2598"/>
    <n v="2"/>
    <n v="-389.7"/>
    <x v="1"/>
    <x v="3"/>
  </r>
  <r>
    <s v="IND-2023-1184"/>
    <x v="145"/>
    <s v="CUS-1006"/>
    <s v="Sneha Mukherjee"/>
    <s v="Chandigarh"/>
    <x v="4"/>
    <x v="2"/>
    <x v="12"/>
    <x v="3"/>
    <n v="47496.2"/>
    <n v="4"/>
    <n v="-7124.43"/>
    <x v="0"/>
    <x v="3"/>
  </r>
  <r>
    <s v="IND-2023-1185"/>
    <x v="146"/>
    <s v="CUS-1004"/>
    <s v="Ananya Iyer"/>
    <s v="Delhi"/>
    <x v="3"/>
    <x v="2"/>
    <x v="28"/>
    <x v="0"/>
    <n v="129998"/>
    <n v="2"/>
    <n v="14400"/>
    <x v="1"/>
    <x v="1"/>
  </r>
  <r>
    <s v="IND-2023-1186"/>
    <x v="108"/>
    <s v="CUS-1016"/>
    <s v="Ritu Mehta"/>
    <s v="Indore"/>
    <x v="11"/>
    <x v="3"/>
    <x v="5"/>
    <x v="3"/>
    <n v="2409.75"/>
    <n v="3"/>
    <n v="0"/>
    <x v="3"/>
    <x v="0"/>
  </r>
  <r>
    <s v="IND-2023-1187"/>
    <x v="21"/>
    <s v="CUS-1019"/>
    <s v="Manish Agarwal"/>
    <s v="Kochi"/>
    <x v="9"/>
    <x v="0"/>
    <x v="7"/>
    <x v="1"/>
    <n v="116970"/>
    <n v="3"/>
    <n v="12300"/>
    <x v="2"/>
    <x v="1"/>
  </r>
  <r>
    <s v="IND-2023-1188"/>
    <x v="130"/>
    <s v="CUS-1004"/>
    <s v="Ananya Iyer"/>
    <s v="Bhubaneswar"/>
    <x v="7"/>
    <x v="1"/>
    <x v="17"/>
    <x v="0"/>
    <n v="127996.8"/>
    <n v="4"/>
    <n v="-4799.3999999999996"/>
    <x v="0"/>
    <x v="1"/>
  </r>
  <r>
    <s v="IND-2023-1189"/>
    <x v="57"/>
    <s v="CUS-1012"/>
    <s v="Kavita Rao"/>
    <s v="Patna"/>
    <x v="1"/>
    <x v="1"/>
    <x v="21"/>
    <x v="4"/>
    <n v="3798.1"/>
    <n v="2"/>
    <n v="890.08"/>
    <x v="3"/>
    <x v="4"/>
  </r>
  <r>
    <s v="IND-2023-1190"/>
    <x v="147"/>
    <s v="CUS-1020"/>
    <s v="Shweta Tiwari"/>
    <s v="Chennai"/>
    <x v="2"/>
    <x v="0"/>
    <x v="19"/>
    <x v="4"/>
    <n v="5728"/>
    <n v="4"/>
    <n v="486"/>
    <x v="0"/>
    <x v="1"/>
  </r>
  <r>
    <s v="IND-2023-1191"/>
    <x v="148"/>
    <s v="CUS-1010"/>
    <s v="Neha Singh"/>
    <s v="Mumbai"/>
    <x v="5"/>
    <x v="3"/>
    <x v="5"/>
    <x v="3"/>
    <n v="2551.5"/>
    <n v="3"/>
    <n v="417.38"/>
    <x v="4"/>
    <x v="1"/>
  </r>
  <r>
    <s v="IND-2023-1192"/>
    <x v="88"/>
    <s v="CUS-1002"/>
    <s v="Priya Patel"/>
    <s v="Delhi"/>
    <x v="3"/>
    <x v="2"/>
    <x v="8"/>
    <x v="1"/>
    <n v="119671.5"/>
    <n v="3"/>
    <n v="-17950.72"/>
    <x v="2"/>
    <x v="3"/>
  </r>
  <r>
    <s v="IND-2023-1193"/>
    <x v="149"/>
    <s v="CUS-1016"/>
    <s v="Ritu Mehta"/>
    <s v="Kolkata"/>
    <x v="13"/>
    <x v="1"/>
    <x v="2"/>
    <x v="2"/>
    <n v="1996"/>
    <n v="4"/>
    <n v="640"/>
    <x v="4"/>
    <x v="4"/>
  </r>
  <r>
    <s v="IND-2023-1194"/>
    <x v="132"/>
    <s v="CUS-1005"/>
    <s v="Rohan Gupta"/>
    <s v="Kochi"/>
    <x v="9"/>
    <x v="0"/>
    <x v="18"/>
    <x v="1"/>
    <n v="1495"/>
    <n v="1"/>
    <n v="350"/>
    <x v="1"/>
    <x v="1"/>
  </r>
  <r>
    <s v="IND-2023-1195"/>
    <x v="130"/>
    <s v="CUS-1017"/>
    <s v="Deepak Chopra"/>
    <s v="Hyderabad"/>
    <x v="8"/>
    <x v="0"/>
    <x v="24"/>
    <x v="3"/>
    <n v="8598"/>
    <n v="2"/>
    <n v="1440"/>
    <x v="0"/>
    <x v="4"/>
  </r>
  <r>
    <s v="IND-2023-1196"/>
    <x v="150"/>
    <s v="CUS-1005"/>
    <s v="Rohan Gupta"/>
    <s v="Kolkata"/>
    <x v="13"/>
    <x v="1"/>
    <x v="28"/>
    <x v="0"/>
    <n v="185247.15"/>
    <n v="3"/>
    <n v="14287.61"/>
    <x v="3"/>
    <x v="1"/>
  </r>
  <r>
    <s v="IND-2023-1197"/>
    <x v="20"/>
    <s v="CUS-1006"/>
    <s v="Sneha Mukherjee"/>
    <s v="Jaipur"/>
    <x v="12"/>
    <x v="2"/>
    <x v="24"/>
    <x v="3"/>
    <n v="6878.4"/>
    <n v="2"/>
    <n v="150.30000000000001"/>
    <x v="0"/>
    <x v="1"/>
  </r>
  <r>
    <s v="IND-2023-1198"/>
    <x v="151"/>
    <s v="CUS-1004"/>
    <s v="Ananya Iyer"/>
    <s v="Kolkata"/>
    <x v="13"/>
    <x v="1"/>
    <x v="18"/>
    <x v="1"/>
    <n v="5980"/>
    <n v="4"/>
    <n v="1400"/>
    <x v="3"/>
    <x v="1"/>
  </r>
  <r>
    <s v="IND-2023-1199"/>
    <x v="26"/>
    <s v="CUS-1012"/>
    <s v="Kavita Rao"/>
    <s v="Patna"/>
    <x v="1"/>
    <x v="1"/>
    <x v="0"/>
    <x v="0"/>
    <n v="3237.3"/>
    <n v="3"/>
    <n v="510.22"/>
    <x v="0"/>
    <x v="1"/>
  </r>
  <r>
    <s v="IND-2023-1200"/>
    <x v="152"/>
    <s v="CUS-1004"/>
    <s v="Ananya Iyer"/>
    <s v="Pune"/>
    <x v="5"/>
    <x v="3"/>
    <x v="20"/>
    <x v="3"/>
    <n v="12156.2"/>
    <n v="4"/>
    <n v="1720.15"/>
    <x v="0"/>
    <x v="1"/>
  </r>
  <r>
    <s v="IND-2023-1201"/>
    <x v="153"/>
    <s v="CUS-1004"/>
    <s v="Ananya Iyer"/>
    <s v="Pune"/>
    <x v="5"/>
    <x v="3"/>
    <x v="13"/>
    <x v="1"/>
    <n v="52240.5"/>
    <n v="1"/>
    <n v="-7836.07"/>
    <x v="3"/>
    <x v="3"/>
  </r>
  <r>
    <s v="IND-2023-1202"/>
    <x v="14"/>
    <s v="CUS-1002"/>
    <s v="Priya Patel"/>
    <s v="Lucknow"/>
    <x v="10"/>
    <x v="2"/>
    <x v="26"/>
    <x v="2"/>
    <n v="1785"/>
    <n v="4"/>
    <n v="463.75"/>
    <x v="4"/>
    <x v="1"/>
  </r>
  <r>
    <s v="IND-2023-1203"/>
    <x v="154"/>
    <s v="CUS-1022"/>
    <s v="Tanvi Deshmukh"/>
    <s v="Chennai"/>
    <x v="2"/>
    <x v="0"/>
    <x v="0"/>
    <x v="0"/>
    <n v="3057.45"/>
    <n v="3"/>
    <n v="0"/>
    <x v="1"/>
    <x v="0"/>
  </r>
  <r>
    <s v="IND-2023-1204"/>
    <x v="155"/>
    <s v="CUS-1002"/>
    <s v="Priya Patel"/>
    <s v="Ahmedabad"/>
    <x v="6"/>
    <x v="3"/>
    <x v="17"/>
    <x v="0"/>
    <n v="159996"/>
    <n v="4"/>
    <n v="19200"/>
    <x v="3"/>
    <x v="1"/>
  </r>
  <r>
    <s v="IND-2023-1205"/>
    <x v="88"/>
    <s v="CUS-1011"/>
    <s v="Aditya Joshi"/>
    <s v="Chandigarh"/>
    <x v="4"/>
    <x v="2"/>
    <x v="13"/>
    <x v="1"/>
    <n v="98982"/>
    <n v="2"/>
    <n v="3351.5"/>
    <x v="0"/>
    <x v="1"/>
  </r>
  <r>
    <s v="IND-2023-1206"/>
    <x v="26"/>
    <s v="CUS-1016"/>
    <s v="Ritu Mehta"/>
    <s v="Chandigarh"/>
    <x v="4"/>
    <x v="2"/>
    <x v="17"/>
    <x v="0"/>
    <n v="37999.050000000003"/>
    <n v="1"/>
    <n v="3300.04"/>
    <x v="1"/>
    <x v="1"/>
  </r>
  <r>
    <s v="IND-2023-1207"/>
    <x v="156"/>
    <s v="CUS-1022"/>
    <s v="Tanvi Deshmukh"/>
    <s v="Kochi"/>
    <x v="9"/>
    <x v="0"/>
    <x v="19"/>
    <x v="4"/>
    <n v="1700.5"/>
    <n v="1"/>
    <n v="322.88"/>
    <x v="0"/>
    <x v="1"/>
  </r>
  <r>
    <s v="IND-2023-1208"/>
    <x v="47"/>
    <s v="CUS-1001"/>
    <s v="Aarav Sharma"/>
    <s v="Jaipur"/>
    <x v="12"/>
    <x v="2"/>
    <x v="5"/>
    <x v="3"/>
    <n v="2551.5"/>
    <n v="3"/>
    <n v="417.38"/>
    <x v="0"/>
    <x v="1"/>
  </r>
  <r>
    <s v="IND-2023-1209"/>
    <x v="157"/>
    <s v="CUS-1006"/>
    <s v="Sneha Mukherjee"/>
    <s v="Kochi"/>
    <x v="9"/>
    <x v="0"/>
    <x v="28"/>
    <x v="0"/>
    <n v="129998"/>
    <n v="2"/>
    <n v="14400"/>
    <x v="1"/>
    <x v="2"/>
  </r>
  <r>
    <s v="IND-2023-1210"/>
    <x v="158"/>
    <s v="CUS-1002"/>
    <s v="Priya Patel"/>
    <s v="Delhi"/>
    <x v="3"/>
    <x v="2"/>
    <x v="30"/>
    <x v="2"/>
    <n v="2596"/>
    <n v="4"/>
    <n v="880"/>
    <x v="2"/>
    <x v="1"/>
  </r>
  <r>
    <s v="IND-2023-1211"/>
    <x v="159"/>
    <s v="CUS-1020"/>
    <s v="Shweta Tiwari"/>
    <s v="Lucknow"/>
    <x v="10"/>
    <x v="2"/>
    <x v="24"/>
    <x v="3"/>
    <n v="13756.8"/>
    <n v="4"/>
    <n v="300.60000000000002"/>
    <x v="4"/>
    <x v="1"/>
  </r>
  <r>
    <s v="IND-2023-1212"/>
    <x v="160"/>
    <s v="CUS-1011"/>
    <s v="Aditya Joshi"/>
    <s v="Kolkata"/>
    <x v="13"/>
    <x v="1"/>
    <x v="11"/>
    <x v="0"/>
    <n v="759.05"/>
    <n v="1"/>
    <n v="220.04"/>
    <x v="1"/>
    <x v="1"/>
  </r>
  <r>
    <s v="IND-2023-1213"/>
    <x v="161"/>
    <s v="CUS-1023"/>
    <s v="Gaurav Bansal"/>
    <s v="Delhi"/>
    <x v="3"/>
    <x v="2"/>
    <x v="2"/>
    <x v="2"/>
    <n v="1596.8"/>
    <n v="4"/>
    <n v="-239.52"/>
    <x v="0"/>
    <x v="3"/>
  </r>
  <r>
    <s v="IND-2023-1214"/>
    <x v="44"/>
    <s v="CUS-1022"/>
    <s v="Tanvi Deshmukh"/>
    <s v="Indore"/>
    <x v="11"/>
    <x v="3"/>
    <x v="28"/>
    <x v="0"/>
    <n v="129998"/>
    <n v="2"/>
    <n v="14400"/>
    <x v="4"/>
    <x v="1"/>
  </r>
  <r>
    <s v="IND-2023-1215"/>
    <x v="108"/>
    <s v="CUS-1021"/>
    <s v="Arjun Reddy"/>
    <s v="Bhubaneswar"/>
    <x v="7"/>
    <x v="1"/>
    <x v="26"/>
    <x v="2"/>
    <n v="1338.75"/>
    <n v="3"/>
    <n v="347.81"/>
    <x v="3"/>
    <x v="1"/>
  </r>
  <r>
    <s v="IND-2023-1216"/>
    <x v="162"/>
    <s v="CUS-1016"/>
    <s v="Ritu Mehta"/>
    <s v="Mumbai"/>
    <x v="5"/>
    <x v="3"/>
    <x v="13"/>
    <x v="1"/>
    <n v="104481"/>
    <n v="2"/>
    <n v="7475.75"/>
    <x v="3"/>
    <x v="1"/>
  </r>
  <r>
    <s v="IND-2023-1217"/>
    <x v="7"/>
    <s v="CUS-1008"/>
    <s v="Pooja Nair"/>
    <s v="Chandigarh"/>
    <x v="4"/>
    <x v="2"/>
    <x v="1"/>
    <x v="1"/>
    <n v="1443.3"/>
    <n v="2"/>
    <n v="228.98"/>
    <x v="0"/>
    <x v="2"/>
  </r>
  <r>
    <s v="IND-2023-1218"/>
    <x v="86"/>
    <s v="CUS-1021"/>
    <s v="Arjun Reddy"/>
    <s v="Indore"/>
    <x v="11"/>
    <x v="3"/>
    <x v="22"/>
    <x v="4"/>
    <n v="2331"/>
    <n v="2"/>
    <n v="425.75"/>
    <x v="0"/>
    <x v="1"/>
  </r>
  <r>
    <s v="IND-2023-1219"/>
    <x v="163"/>
    <s v="CUS-1024"/>
    <s v="Meera Nambiar"/>
    <s v="Bengaluru"/>
    <x v="0"/>
    <x v="0"/>
    <x v="22"/>
    <x v="4"/>
    <n v="1100.75"/>
    <n v="1"/>
    <n v="-165.11"/>
    <x v="1"/>
    <x v="3"/>
  </r>
  <r>
    <s v="IND-2023-1220"/>
    <x v="164"/>
    <s v="CUS-1001"/>
    <s v="Aarav Sharma"/>
    <s v="Pune"/>
    <x v="5"/>
    <x v="3"/>
    <x v="28"/>
    <x v="0"/>
    <n v="155997.6"/>
    <n v="3"/>
    <n v="-23399.64"/>
    <x v="3"/>
    <x v="3"/>
  </r>
  <r>
    <s v="IND-2023-1221"/>
    <x v="165"/>
    <s v="CUS-1013"/>
    <s v="Amit Mishra"/>
    <s v="Pune"/>
    <x v="5"/>
    <x v="3"/>
    <x v="26"/>
    <x v="2"/>
    <n v="1785"/>
    <n v="4"/>
    <n v="463.75"/>
    <x v="4"/>
    <x v="1"/>
  </r>
  <r>
    <s v="IND-2023-1222"/>
    <x v="166"/>
    <s v="CUS-1025"/>
    <s v="Siddharth Sen"/>
    <s v="Mumbai"/>
    <x v="5"/>
    <x v="3"/>
    <x v="3"/>
    <x v="0"/>
    <n v="3117.6"/>
    <n v="3"/>
    <n v="375.45"/>
    <x v="4"/>
    <x v="1"/>
  </r>
  <r>
    <s v="IND-2023-1223"/>
    <x v="14"/>
    <s v="CUS-1025"/>
    <s v="Siddharth Sen"/>
    <s v="Indore"/>
    <x v="11"/>
    <x v="3"/>
    <x v="14"/>
    <x v="3"/>
    <n v="3236.4"/>
    <n v="4"/>
    <n v="-749.7"/>
    <x v="1"/>
    <x v="4"/>
  </r>
  <r>
    <s v="IND-2023-1224"/>
    <x v="167"/>
    <s v="CUS-1002"/>
    <s v="Priya Patel"/>
    <s v="Jaipur"/>
    <x v="12"/>
    <x v="2"/>
    <x v="22"/>
    <x v="4"/>
    <n v="3496.5"/>
    <n v="3"/>
    <n v="638.62"/>
    <x v="0"/>
    <x v="1"/>
  </r>
  <r>
    <s v="IND-2023-1225"/>
    <x v="156"/>
    <s v="CUS-1017"/>
    <s v="Deepak Chopra"/>
    <s v="Chennai"/>
    <x v="2"/>
    <x v="0"/>
    <x v="25"/>
    <x v="4"/>
    <n v="3822.45"/>
    <n v="3"/>
    <n v="-573.37"/>
    <x v="1"/>
    <x v="3"/>
  </r>
  <r>
    <s v="IND-2023-1226"/>
    <x v="86"/>
    <s v="CUS-1013"/>
    <s v="Amit Mishra"/>
    <s v="Delhi"/>
    <x v="3"/>
    <x v="2"/>
    <x v="27"/>
    <x v="3"/>
    <n v="1850"/>
    <n v="1"/>
    <n v="340"/>
    <x v="4"/>
    <x v="4"/>
  </r>
  <r>
    <s v="IND-2023-1227"/>
    <x v="137"/>
    <s v="CUS-1024"/>
    <s v="Meera Nambiar"/>
    <s v="Bhubaneswar"/>
    <x v="7"/>
    <x v="1"/>
    <x v="7"/>
    <x v="1"/>
    <n v="33141.5"/>
    <n v="1"/>
    <n v="-286.38"/>
    <x v="1"/>
    <x v="1"/>
  </r>
  <r>
    <s v="IND-2023-1228"/>
    <x v="168"/>
    <s v="CUS-1002"/>
    <s v="Priya Patel"/>
    <s v="Jaipur"/>
    <x v="12"/>
    <x v="2"/>
    <x v="18"/>
    <x v="1"/>
    <n v="2392"/>
    <n v="2"/>
    <n v="251.5"/>
    <x v="0"/>
    <x v="1"/>
  </r>
  <r>
    <s v="IND-2023-1229"/>
    <x v="169"/>
    <s v="CUS-1023"/>
    <s v="Gaurav Bansal"/>
    <s v="Bengaluru"/>
    <x v="0"/>
    <x v="0"/>
    <x v="17"/>
    <x v="0"/>
    <n v="79998"/>
    <n v="2"/>
    <n v="9600"/>
    <x v="1"/>
    <x v="2"/>
  </r>
  <r>
    <s v="IND-2023-1230"/>
    <x v="150"/>
    <s v="CUS-1021"/>
    <s v="Arjun Reddy"/>
    <s v="Kolkata"/>
    <x v="13"/>
    <x v="1"/>
    <x v="0"/>
    <x v="0"/>
    <n v="3597"/>
    <n v="3"/>
    <n v="780"/>
    <x v="0"/>
    <x v="1"/>
  </r>
  <r>
    <s v="IND-2023-1231"/>
    <x v="170"/>
    <s v="CUS-1002"/>
    <s v="Priya Patel"/>
    <s v="Hyderabad"/>
    <x v="8"/>
    <x v="0"/>
    <x v="26"/>
    <x v="2"/>
    <n v="1890"/>
    <n v="4"/>
    <n v="542.5"/>
    <x v="3"/>
    <x v="4"/>
  </r>
  <r>
    <s v="IND-2023-1232"/>
    <x v="52"/>
    <s v="CUS-1007"/>
    <s v="Vikram Malhotra"/>
    <s v="Pune"/>
    <x v="5"/>
    <x v="3"/>
    <x v="3"/>
    <x v="0"/>
    <n v="2598"/>
    <n v="2"/>
    <n v="640"/>
    <x v="0"/>
    <x v="1"/>
  </r>
  <r>
    <s v="IND-2023-1233"/>
    <x v="171"/>
    <s v="CUS-1005"/>
    <s v="Rohan Gupta"/>
    <s v="Patna"/>
    <x v="1"/>
    <x v="1"/>
    <x v="7"/>
    <x v="1"/>
    <n v="111121.5"/>
    <n v="3"/>
    <n v="7913.62"/>
    <x v="0"/>
    <x v="1"/>
  </r>
  <r>
    <s v="IND-2023-1234"/>
    <x v="172"/>
    <s v="CUS-1025"/>
    <s v="Siddharth Sen"/>
    <s v="Delhi"/>
    <x v="3"/>
    <x v="2"/>
    <x v="28"/>
    <x v="0"/>
    <n v="194997"/>
    <n v="3"/>
    <n v="21600"/>
    <x v="0"/>
    <x v="4"/>
  </r>
  <r>
    <s v="IND-2023-1235"/>
    <x v="6"/>
    <s v="CUS-1016"/>
    <s v="Ritu Mehta"/>
    <s v="Delhi"/>
    <x v="3"/>
    <x v="2"/>
    <x v="24"/>
    <x v="3"/>
    <n v="4299"/>
    <n v="1"/>
    <n v="720"/>
    <x v="3"/>
    <x v="1"/>
  </r>
  <r>
    <s v="IND-2023-1236"/>
    <x v="173"/>
    <s v="CUS-1014"/>
    <s v="Sunita Das"/>
    <s v="Chandigarh"/>
    <x v="4"/>
    <x v="2"/>
    <x v="6"/>
    <x v="2"/>
    <n v="780"/>
    <n v="1"/>
    <n v="240"/>
    <x v="3"/>
    <x v="1"/>
  </r>
  <r>
    <s v="IND-2023-1237"/>
    <x v="106"/>
    <s v="CUS-1004"/>
    <s v="Ananya Iyer"/>
    <s v="Kochi"/>
    <x v="9"/>
    <x v="0"/>
    <x v="15"/>
    <x v="4"/>
    <n v="959.2"/>
    <n v="1"/>
    <n v="110.15"/>
    <x v="0"/>
    <x v="1"/>
  </r>
  <r>
    <s v="IND-2023-1238"/>
    <x v="145"/>
    <s v="CUS-1001"/>
    <s v="Aarav Sharma"/>
    <s v="Patna"/>
    <x v="1"/>
    <x v="1"/>
    <x v="18"/>
    <x v="1"/>
    <n v="3812.25"/>
    <n v="3"/>
    <n v="545.44000000000005"/>
    <x v="0"/>
    <x v="1"/>
  </r>
  <r>
    <s v="IND-2023-1239"/>
    <x v="146"/>
    <s v="CUS-1023"/>
    <s v="Gaurav Bansal"/>
    <s v="Indore"/>
    <x v="11"/>
    <x v="3"/>
    <x v="1"/>
    <x v="1"/>
    <n v="1528.2"/>
    <n v="2"/>
    <n v="292.64999999999998"/>
    <x v="0"/>
    <x v="1"/>
  </r>
  <r>
    <s v="IND-2023-1240"/>
    <x v="174"/>
    <s v="CUS-1010"/>
    <s v="Neha Singh"/>
    <s v="Jaipur"/>
    <x v="12"/>
    <x v="2"/>
    <x v="11"/>
    <x v="0"/>
    <n v="1518.1"/>
    <n v="2"/>
    <n v="440.07"/>
    <x v="0"/>
    <x v="1"/>
  </r>
  <r>
    <s v="IND-2023-1241"/>
    <x v="88"/>
    <s v="CUS-1007"/>
    <s v="Vikram Malhotra"/>
    <s v="Delhi"/>
    <x v="3"/>
    <x v="2"/>
    <x v="12"/>
    <x v="3"/>
    <n v="39996.800000000003"/>
    <n v="4"/>
    <n v="-13299.4"/>
    <x v="0"/>
    <x v="1"/>
  </r>
  <r>
    <s v="IND-2023-1242"/>
    <x v="119"/>
    <s v="CUS-1025"/>
    <s v="Siddharth Sen"/>
    <s v="Pune"/>
    <x v="5"/>
    <x v="3"/>
    <x v="24"/>
    <x v="3"/>
    <n v="4299"/>
    <n v="1"/>
    <n v="720"/>
    <x v="4"/>
    <x v="1"/>
  </r>
  <r>
    <s v="IND-2023-1243"/>
    <x v="175"/>
    <s v="CUS-1007"/>
    <s v="Vikram Malhotra"/>
    <s v="Mumbai"/>
    <x v="5"/>
    <x v="3"/>
    <x v="27"/>
    <x v="3"/>
    <n v="6290"/>
    <n v="4"/>
    <n v="527.5"/>
    <x v="1"/>
    <x v="2"/>
  </r>
  <r>
    <s v="IND-2023-1244"/>
    <x v="139"/>
    <s v="CUS-1011"/>
    <s v="Aditya Joshi"/>
    <s v="Pune"/>
    <x v="5"/>
    <x v="3"/>
    <x v="17"/>
    <x v="0"/>
    <n v="119997"/>
    <n v="3"/>
    <n v="14400"/>
    <x v="0"/>
    <x v="1"/>
  </r>
  <r>
    <s v="IND-2023-1245"/>
    <x v="176"/>
    <s v="CUS-1005"/>
    <s v="Rohan Gupta"/>
    <s v="Delhi"/>
    <x v="3"/>
    <x v="2"/>
    <x v="12"/>
    <x v="3"/>
    <n v="47496.2"/>
    <n v="4"/>
    <n v="-7674.85"/>
    <x v="4"/>
    <x v="1"/>
  </r>
  <r>
    <s v="IND-2023-1246"/>
    <x v="177"/>
    <s v="CUS-1022"/>
    <s v="Tanvi Deshmukh"/>
    <s v="Patna"/>
    <x v="1"/>
    <x v="1"/>
    <x v="28"/>
    <x v="0"/>
    <n v="155997.6"/>
    <n v="3"/>
    <n v="-7649.55"/>
    <x v="3"/>
    <x v="1"/>
  </r>
  <r>
    <s v="IND-2023-1247"/>
    <x v="178"/>
    <s v="CUS-1016"/>
    <s v="Ritu Mehta"/>
    <s v="Chennai"/>
    <x v="2"/>
    <x v="0"/>
    <x v="1"/>
    <x v="1"/>
    <n v="2292.3000000000002"/>
    <n v="3"/>
    <n v="438.98"/>
    <x v="0"/>
    <x v="1"/>
  </r>
  <r>
    <s v="IND-2023-1248"/>
    <x v="173"/>
    <s v="CUS-1014"/>
    <s v="Sunita Das"/>
    <s v="Kochi"/>
    <x v="9"/>
    <x v="0"/>
    <x v="22"/>
    <x v="4"/>
    <n v="5180"/>
    <n v="4"/>
    <n v="-777"/>
    <x v="0"/>
    <x v="3"/>
  </r>
  <r>
    <s v="IND-2023-1249"/>
    <x v="167"/>
    <s v="CUS-1014"/>
    <s v="Sunita Das"/>
    <s v="Ahmedabad"/>
    <x v="6"/>
    <x v="3"/>
    <x v="31"/>
    <x v="0"/>
    <n v="70396.800000000003"/>
    <n v="4"/>
    <n v="-3599.4"/>
    <x v="0"/>
    <x v="1"/>
  </r>
  <r>
    <s v="IND-2023-1250"/>
    <x v="179"/>
    <s v="CUS-1005"/>
    <s v="Rohan Gupta"/>
    <s v="Hyderabad"/>
    <x v="8"/>
    <x v="0"/>
    <x v="30"/>
    <x v="2"/>
    <n v="616.54999999999995"/>
    <n v="1"/>
    <n v="195.66"/>
    <x v="2"/>
    <x v="1"/>
  </r>
  <r>
    <s v="IND-2023-1251"/>
    <x v="180"/>
    <s v="CUS-1002"/>
    <s v="Priya Patel"/>
    <s v="Ahmedabad"/>
    <x v="6"/>
    <x v="3"/>
    <x v="19"/>
    <x v="4"/>
    <n v="1790"/>
    <n v="1"/>
    <n v="390"/>
    <x v="3"/>
    <x v="4"/>
  </r>
  <r>
    <s v="IND-2023-1252"/>
    <x v="181"/>
    <s v="CUS-1008"/>
    <s v="Pooja Nair"/>
    <s v="Pune"/>
    <x v="5"/>
    <x v="3"/>
    <x v="28"/>
    <x v="0"/>
    <n v="207996.79999999999"/>
    <n v="4"/>
    <n v="-10199.4"/>
    <x v="3"/>
    <x v="1"/>
  </r>
  <r>
    <s v="IND-2023-1253"/>
    <x v="182"/>
    <s v="CUS-1008"/>
    <s v="Pooja Nair"/>
    <s v="Indore"/>
    <x v="11"/>
    <x v="3"/>
    <x v="28"/>
    <x v="0"/>
    <n v="220996.6"/>
    <n v="4"/>
    <n v="-449.55"/>
    <x v="1"/>
    <x v="1"/>
  </r>
  <r>
    <s v="IND-2023-1254"/>
    <x v="183"/>
    <s v="CUS-1001"/>
    <s v="Aarav Sharma"/>
    <s v="Ahmedabad"/>
    <x v="6"/>
    <x v="3"/>
    <x v="3"/>
    <x v="0"/>
    <n v="1104.1500000000001"/>
    <n v="1"/>
    <n v="173.86"/>
    <x v="4"/>
    <x v="1"/>
  </r>
  <r>
    <s v="IND-2023-1255"/>
    <x v="97"/>
    <s v="CUS-1021"/>
    <s v="Arjun Reddy"/>
    <s v="Chandigarh"/>
    <x v="4"/>
    <x v="2"/>
    <x v="16"/>
    <x v="4"/>
    <n v="9196"/>
    <n v="4"/>
    <n v="-1379.4"/>
    <x v="3"/>
    <x v="3"/>
  </r>
  <r>
    <s v="IND-2023-1256"/>
    <x v="141"/>
    <s v="CUS-1003"/>
    <s v="Rahul Verma"/>
    <s v="Bengaluru"/>
    <x v="0"/>
    <x v="0"/>
    <x v="6"/>
    <x v="2"/>
    <n v="1989"/>
    <n v="3"/>
    <n v="456.75"/>
    <x v="0"/>
    <x v="1"/>
  </r>
  <r>
    <s v="IND-2023-1257"/>
    <x v="184"/>
    <s v="CUS-1002"/>
    <s v="Priya Patel"/>
    <s v="Bengaluru"/>
    <x v="0"/>
    <x v="0"/>
    <x v="11"/>
    <x v="0"/>
    <n v="2397"/>
    <n v="3"/>
    <n v="750"/>
    <x v="3"/>
    <x v="1"/>
  </r>
  <r>
    <s v="IND-2023-1258"/>
    <x v="91"/>
    <s v="CUS-1002"/>
    <s v="Priya Patel"/>
    <s v="Bengaluru"/>
    <x v="0"/>
    <x v="0"/>
    <x v="3"/>
    <x v="0"/>
    <n v="3507.3"/>
    <n v="3"/>
    <n v="667.72"/>
    <x v="4"/>
    <x v="1"/>
  </r>
  <r>
    <s v="IND-2023-1259"/>
    <x v="1"/>
    <s v="CUS-1008"/>
    <s v="Pooja Nair"/>
    <s v="Ahmedabad"/>
    <x v="6"/>
    <x v="3"/>
    <x v="11"/>
    <x v="0"/>
    <n v="639.20000000000005"/>
    <n v="1"/>
    <n v="130.15"/>
    <x v="3"/>
    <x v="1"/>
  </r>
  <r>
    <s v="IND-2023-1260"/>
    <x v="185"/>
    <s v="CUS-1007"/>
    <s v="Vikram Malhotra"/>
    <s v="Bengaluru"/>
    <x v="0"/>
    <x v="0"/>
    <x v="3"/>
    <x v="0"/>
    <n v="3897"/>
    <n v="3"/>
    <n v="960"/>
    <x v="0"/>
    <x v="1"/>
  </r>
  <r>
    <s v="IND-2023-1261"/>
    <x v="186"/>
    <s v="CUS-1020"/>
    <s v="Shweta Tiwari"/>
    <s v="Bengaluru"/>
    <x v="0"/>
    <x v="0"/>
    <x v="1"/>
    <x v="1"/>
    <n v="849"/>
    <n v="1"/>
    <n v="210"/>
    <x v="0"/>
    <x v="1"/>
  </r>
  <r>
    <s v="IND-2023-1262"/>
    <x v="187"/>
    <s v="CUS-1021"/>
    <s v="Arjun Reddy"/>
    <s v="Chennai"/>
    <x v="2"/>
    <x v="0"/>
    <x v="22"/>
    <x v="4"/>
    <n v="1036"/>
    <n v="1"/>
    <n v="115.75"/>
    <x v="1"/>
    <x v="1"/>
  </r>
  <r>
    <s v="IND-2023-1263"/>
    <x v="153"/>
    <s v="CUS-1004"/>
    <s v="Ananya Iyer"/>
    <s v="Bhubaneswar"/>
    <x v="7"/>
    <x v="1"/>
    <x v="15"/>
    <x v="4"/>
    <n v="1199"/>
    <n v="1"/>
    <n v="290"/>
    <x v="0"/>
    <x v="4"/>
  </r>
  <r>
    <s v="IND-2023-1264"/>
    <x v="132"/>
    <s v="CUS-1013"/>
    <s v="Amit Mishra"/>
    <s v="Kolkata"/>
    <x v="13"/>
    <x v="1"/>
    <x v="13"/>
    <x v="1"/>
    <n v="43992"/>
    <n v="1"/>
    <n v="-6598.8"/>
    <x v="3"/>
    <x v="3"/>
  </r>
  <r>
    <s v="IND-2023-1265"/>
    <x v="155"/>
    <s v="CUS-1005"/>
    <s v="Rohan Gupta"/>
    <s v="Delhi"/>
    <x v="3"/>
    <x v="2"/>
    <x v="22"/>
    <x v="4"/>
    <n v="2590"/>
    <n v="2"/>
    <n v="620"/>
    <x v="1"/>
    <x v="1"/>
  </r>
  <r>
    <s v="IND-2023-1266"/>
    <x v="66"/>
    <s v="CUS-1022"/>
    <s v="Tanvi Deshmukh"/>
    <s v="Chandigarh"/>
    <x v="4"/>
    <x v="2"/>
    <x v="1"/>
    <x v="1"/>
    <n v="721.65"/>
    <n v="1"/>
    <n v="114.49"/>
    <x v="1"/>
    <x v="1"/>
  </r>
  <r>
    <s v="IND-2023-1267"/>
    <x v="75"/>
    <s v="CUS-1003"/>
    <s v="Rahul Verma"/>
    <s v="Mumbai"/>
    <x v="5"/>
    <x v="3"/>
    <x v="0"/>
    <x v="0"/>
    <n v="3237.3"/>
    <n v="3"/>
    <n v="510.22"/>
    <x v="3"/>
    <x v="1"/>
  </r>
  <r>
    <s v="IND-2023-1268"/>
    <x v="188"/>
    <s v="CUS-1022"/>
    <s v="Tanvi Deshmukh"/>
    <s v="Ahmedabad"/>
    <x v="6"/>
    <x v="3"/>
    <x v="24"/>
    <x v="3"/>
    <n v="3439.2"/>
    <n v="1"/>
    <n v="75.150000000000006"/>
    <x v="3"/>
    <x v="1"/>
  </r>
  <r>
    <s v="IND-2023-1269"/>
    <x v="174"/>
    <s v="CUS-1014"/>
    <s v="Sunita Das"/>
    <s v="Jaipur"/>
    <x v="12"/>
    <x v="2"/>
    <x v="12"/>
    <x v="3"/>
    <n v="12499"/>
    <n v="1"/>
    <n v="-1450"/>
    <x v="1"/>
    <x v="1"/>
  </r>
  <r>
    <s v="IND-2023-1270"/>
    <x v="189"/>
    <s v="CUS-1025"/>
    <s v="Siddharth Sen"/>
    <s v="Hyderabad"/>
    <x v="8"/>
    <x v="0"/>
    <x v="5"/>
    <x v="3"/>
    <n v="1701"/>
    <n v="2"/>
    <n v="278.25"/>
    <x v="0"/>
    <x v="1"/>
  </r>
  <r>
    <s v="IND-2023-1271"/>
    <x v="190"/>
    <s v="CUS-1014"/>
    <s v="Sunita Das"/>
    <s v="Hyderabad"/>
    <x v="8"/>
    <x v="0"/>
    <x v="30"/>
    <x v="2"/>
    <n v="1849.65"/>
    <n v="3"/>
    <n v="586.99"/>
    <x v="3"/>
    <x v="1"/>
  </r>
  <r>
    <s v="IND-2023-1272"/>
    <x v="90"/>
    <s v="CUS-1019"/>
    <s v="Manish Agarwal"/>
    <s v="Kolkata"/>
    <x v="13"/>
    <x v="1"/>
    <x v="9"/>
    <x v="0"/>
    <n v="3058.3"/>
    <n v="2"/>
    <n v="355.23"/>
    <x v="1"/>
    <x v="4"/>
  </r>
  <r>
    <s v="IND-2023-1273"/>
    <x v="191"/>
    <s v="CUS-1006"/>
    <s v="Sneha Mukherjee"/>
    <s v="Mumbai"/>
    <x v="5"/>
    <x v="3"/>
    <x v="1"/>
    <x v="1"/>
    <n v="764.1"/>
    <n v="1"/>
    <n v="-114.61"/>
    <x v="0"/>
    <x v="3"/>
  </r>
  <r>
    <s v="IND-2023-1274"/>
    <x v="138"/>
    <s v="CUS-1011"/>
    <s v="Aditya Joshi"/>
    <s v="Chennai"/>
    <x v="2"/>
    <x v="0"/>
    <x v="17"/>
    <x v="0"/>
    <n v="63998.400000000001"/>
    <n v="2"/>
    <n v="-2399.6999999999998"/>
    <x v="3"/>
    <x v="1"/>
  </r>
  <r>
    <s v="IND-2023-1275"/>
    <x v="192"/>
    <s v="CUS-1008"/>
    <s v="Pooja Nair"/>
    <s v="Bengaluru"/>
    <x v="0"/>
    <x v="0"/>
    <x v="6"/>
    <x v="2"/>
    <n v="2106"/>
    <n v="3"/>
    <n v="544.5"/>
    <x v="3"/>
    <x v="1"/>
  </r>
  <r>
    <s v="IND-2023-1276"/>
    <x v="193"/>
    <s v="CUS-1003"/>
    <s v="Rahul Verma"/>
    <s v="Pune"/>
    <x v="5"/>
    <x v="3"/>
    <x v="24"/>
    <x v="3"/>
    <n v="17196"/>
    <n v="4"/>
    <n v="2880"/>
    <x v="0"/>
    <x v="4"/>
  </r>
  <r>
    <s v="IND-2023-1277"/>
    <x v="29"/>
    <s v="CUS-1024"/>
    <s v="Meera Nambiar"/>
    <s v="Pune"/>
    <x v="5"/>
    <x v="3"/>
    <x v="6"/>
    <x v="2"/>
    <n v="3120"/>
    <n v="4"/>
    <n v="960"/>
    <x v="1"/>
    <x v="1"/>
  </r>
  <r>
    <s v="IND-2023-1278"/>
    <x v="194"/>
    <s v="CUS-1020"/>
    <s v="Shweta Tiwari"/>
    <s v="Bhubaneswar"/>
    <x v="7"/>
    <x v="1"/>
    <x v="18"/>
    <x v="1"/>
    <n v="1495"/>
    <n v="1"/>
    <n v="350"/>
    <x v="1"/>
    <x v="1"/>
  </r>
  <r>
    <s v="IND-2023-1279"/>
    <x v="195"/>
    <s v="CUS-1022"/>
    <s v="Tanvi Deshmukh"/>
    <s v="Chandigarh"/>
    <x v="4"/>
    <x v="2"/>
    <x v="25"/>
    <x v="4"/>
    <n v="3597.6"/>
    <n v="3"/>
    <n v="465.45"/>
    <x v="4"/>
    <x v="4"/>
  </r>
  <r>
    <s v="IND-2023-1280"/>
    <x v="194"/>
    <s v="CUS-1016"/>
    <s v="Ritu Mehta"/>
    <s v="Chennai"/>
    <x v="2"/>
    <x v="0"/>
    <x v="25"/>
    <x v="4"/>
    <n v="1349.1"/>
    <n v="1"/>
    <n v="267.57"/>
    <x v="3"/>
    <x v="1"/>
  </r>
  <r>
    <s v="IND-2023-1281"/>
    <x v="196"/>
    <s v="CUS-1014"/>
    <s v="Sunita Das"/>
    <s v="Ahmedabad"/>
    <x v="6"/>
    <x v="3"/>
    <x v="16"/>
    <x v="4"/>
    <n v="3908.3"/>
    <n v="2"/>
    <n v="-877.27"/>
    <x v="0"/>
    <x v="1"/>
  </r>
  <r>
    <s v="IND-2023-1282"/>
    <x v="197"/>
    <s v="CUS-1025"/>
    <s v="Siddharth Sen"/>
    <s v="Indore"/>
    <x v="11"/>
    <x v="3"/>
    <x v="15"/>
    <x v="4"/>
    <n v="1079.0999999999999"/>
    <n v="1"/>
    <n v="200.07"/>
    <x v="0"/>
    <x v="1"/>
  </r>
  <r>
    <s v="IND-2023-1283"/>
    <x v="198"/>
    <s v="CUS-1023"/>
    <s v="Gaurav Bansal"/>
    <s v="Kochi"/>
    <x v="9"/>
    <x v="0"/>
    <x v="12"/>
    <x v="3"/>
    <n v="37497"/>
    <n v="3"/>
    <n v="-4350"/>
    <x v="0"/>
    <x v="2"/>
  </r>
  <r>
    <s v="IND-2023-1284"/>
    <x v="199"/>
    <s v="CUS-1011"/>
    <s v="Aditya Joshi"/>
    <s v="Pune"/>
    <x v="5"/>
    <x v="3"/>
    <x v="31"/>
    <x v="0"/>
    <n v="70396.800000000003"/>
    <n v="4"/>
    <n v="-3599.4"/>
    <x v="0"/>
    <x v="4"/>
  </r>
  <r>
    <s v="IND-2023-1285"/>
    <x v="200"/>
    <s v="CUS-1017"/>
    <s v="Deepak Chopra"/>
    <s v="Chandigarh"/>
    <x v="4"/>
    <x v="2"/>
    <x v="0"/>
    <x v="0"/>
    <n v="2038.3"/>
    <n v="2"/>
    <n v="250.23"/>
    <x v="1"/>
    <x v="1"/>
  </r>
  <r>
    <s v="IND-2023-1286"/>
    <x v="201"/>
    <s v="CUS-1024"/>
    <s v="Meera Nambiar"/>
    <s v="Kolkata"/>
    <x v="13"/>
    <x v="1"/>
    <x v="13"/>
    <x v="1"/>
    <n v="175968"/>
    <n v="4"/>
    <n v="0"/>
    <x v="3"/>
    <x v="0"/>
  </r>
  <r>
    <s v="IND-2023-1287"/>
    <x v="191"/>
    <s v="CUS-1013"/>
    <s v="Amit Mishra"/>
    <s v="Pune"/>
    <x v="5"/>
    <x v="3"/>
    <x v="24"/>
    <x v="3"/>
    <n v="4299"/>
    <n v="1"/>
    <n v="720"/>
    <x v="0"/>
    <x v="1"/>
  </r>
  <r>
    <s v="IND-2023-1288"/>
    <x v="66"/>
    <s v="CUS-1021"/>
    <s v="Arjun Reddy"/>
    <s v="Patna"/>
    <x v="1"/>
    <x v="1"/>
    <x v="12"/>
    <x v="3"/>
    <n v="29997.599999999999"/>
    <n v="3"/>
    <n v="-4499.6400000000003"/>
    <x v="4"/>
    <x v="3"/>
  </r>
  <r>
    <s v="IND-2023-1289"/>
    <x v="200"/>
    <s v="CUS-1012"/>
    <s v="Kavita Rao"/>
    <s v="Indore"/>
    <x v="11"/>
    <x v="3"/>
    <x v="28"/>
    <x v="0"/>
    <n v="55249.15"/>
    <n v="1"/>
    <n v="-112.39"/>
    <x v="0"/>
    <x v="1"/>
  </r>
  <r>
    <s v="IND-2023-1290"/>
    <x v="187"/>
    <s v="CUS-1015"/>
    <s v="Karan Kapoor"/>
    <s v="Kolkata"/>
    <x v="13"/>
    <x v="1"/>
    <x v="21"/>
    <x v="4"/>
    <n v="5397.3"/>
    <n v="3"/>
    <n v="1110.22"/>
    <x v="0"/>
    <x v="1"/>
  </r>
  <r>
    <s v="IND-2023-1291"/>
    <x v="166"/>
    <s v="CUS-1001"/>
    <s v="Aarav Sharma"/>
    <s v="Patna"/>
    <x v="1"/>
    <x v="1"/>
    <x v="0"/>
    <x v="0"/>
    <n v="2038.3"/>
    <n v="2"/>
    <n v="250.23"/>
    <x v="0"/>
    <x v="1"/>
  </r>
  <r>
    <s v="IND-2023-1292"/>
    <x v="202"/>
    <s v="CUS-1010"/>
    <s v="Neha Singh"/>
    <s v="Pune"/>
    <x v="5"/>
    <x v="3"/>
    <x v="13"/>
    <x v="1"/>
    <n v="98982"/>
    <n v="2"/>
    <n v="0"/>
    <x v="4"/>
    <x v="0"/>
  </r>
  <r>
    <s v="IND-2023-1293"/>
    <x v="203"/>
    <s v="CUS-1019"/>
    <s v="Manish Agarwal"/>
    <s v="Patna"/>
    <x v="1"/>
    <x v="1"/>
    <x v="12"/>
    <x v="3"/>
    <n v="24998"/>
    <n v="2"/>
    <n v="-2900"/>
    <x v="0"/>
    <x v="1"/>
  </r>
  <r>
    <s v="IND-2023-1294"/>
    <x v="204"/>
    <s v="CUS-1023"/>
    <s v="Gaurav Bansal"/>
    <s v="Bengaluru"/>
    <x v="0"/>
    <x v="0"/>
    <x v="17"/>
    <x v="0"/>
    <n v="75998.100000000006"/>
    <n v="2"/>
    <n v="6600.07"/>
    <x v="1"/>
    <x v="1"/>
  </r>
  <r>
    <s v="IND-2023-1295"/>
    <x v="66"/>
    <s v="CUS-1021"/>
    <s v="Arjun Reddy"/>
    <s v="Delhi"/>
    <x v="3"/>
    <x v="2"/>
    <x v="17"/>
    <x v="0"/>
    <n v="151996.20000000001"/>
    <n v="4"/>
    <n v="13200.15"/>
    <x v="0"/>
    <x v="1"/>
  </r>
  <r>
    <s v="IND-2023-1296"/>
    <x v="205"/>
    <s v="CUS-1023"/>
    <s v="Gaurav Bansal"/>
    <s v="Kochi"/>
    <x v="9"/>
    <x v="0"/>
    <x v="10"/>
    <x v="4"/>
    <n v="5997.6"/>
    <n v="3"/>
    <n v="825.45"/>
    <x v="4"/>
    <x v="4"/>
  </r>
  <r>
    <s v="IND-2023-1297"/>
    <x v="206"/>
    <s v="CUS-1008"/>
    <s v="Pooja Nair"/>
    <s v="Lucknow"/>
    <x v="10"/>
    <x v="2"/>
    <x v="12"/>
    <x v="3"/>
    <n v="11249.1"/>
    <n v="1"/>
    <n v="-2387.4299999999998"/>
    <x v="3"/>
    <x v="1"/>
  </r>
  <r>
    <s v="IND-2023-1298"/>
    <x v="207"/>
    <s v="CUS-1001"/>
    <s v="Aarav Sharma"/>
    <s v="Chennai"/>
    <x v="2"/>
    <x v="0"/>
    <x v="3"/>
    <x v="0"/>
    <n v="5196"/>
    <n v="4"/>
    <n v="1280"/>
    <x v="1"/>
    <x v="4"/>
  </r>
  <r>
    <s v="IND-2023-1299"/>
    <x v="208"/>
    <s v="CUS-1025"/>
    <s v="Siddharth Sen"/>
    <s v="Chandigarh"/>
    <x v="4"/>
    <x v="2"/>
    <x v="7"/>
    <x v="1"/>
    <n v="124768"/>
    <n v="4"/>
    <n v="-6994"/>
    <x v="4"/>
    <x v="1"/>
  </r>
  <r>
    <s v="IND-2023-1300"/>
    <x v="148"/>
    <s v="CUS-1017"/>
    <s v="Deepak Chopra"/>
    <s v="Mumbai"/>
    <x v="5"/>
    <x v="3"/>
    <x v="2"/>
    <x v="2"/>
    <n v="1896.2"/>
    <n v="4"/>
    <n v="565.15"/>
    <x v="1"/>
    <x v="1"/>
  </r>
  <r>
    <s v="IND-2023-1301"/>
    <x v="43"/>
    <s v="CUS-1010"/>
    <s v="Neha Singh"/>
    <s v="Lucknow"/>
    <x v="10"/>
    <x v="2"/>
    <x v="10"/>
    <x v="4"/>
    <n v="9996"/>
    <n v="4"/>
    <n v="2600"/>
    <x v="0"/>
    <x v="1"/>
  </r>
  <r>
    <s v="IND-2023-1302"/>
    <x v="31"/>
    <s v="CUS-1001"/>
    <s v="Aarav Sharma"/>
    <s v="Delhi"/>
    <x v="3"/>
    <x v="2"/>
    <x v="27"/>
    <x v="3"/>
    <n v="3700"/>
    <n v="2"/>
    <n v="-555"/>
    <x v="0"/>
    <x v="3"/>
  </r>
  <r>
    <s v="IND-2023-1303"/>
    <x v="209"/>
    <s v="CUS-1025"/>
    <s v="Siddharth Sen"/>
    <s v="Hyderabad"/>
    <x v="8"/>
    <x v="0"/>
    <x v="11"/>
    <x v="0"/>
    <n v="679.15"/>
    <n v="1"/>
    <n v="160.11000000000001"/>
    <x v="0"/>
    <x v="2"/>
  </r>
  <r>
    <s v="IND-2023-1304"/>
    <x v="198"/>
    <s v="CUS-1001"/>
    <s v="Aarav Sharma"/>
    <s v="Patna"/>
    <x v="1"/>
    <x v="1"/>
    <x v="12"/>
    <x v="3"/>
    <n v="31872.45"/>
    <n v="3"/>
    <n v="-8568.41"/>
    <x v="1"/>
    <x v="1"/>
  </r>
  <r>
    <s v="IND-2023-1305"/>
    <x v="209"/>
    <s v="CUS-1003"/>
    <s v="Rahul Verma"/>
    <s v="Jaipur"/>
    <x v="12"/>
    <x v="2"/>
    <x v="29"/>
    <x v="3"/>
    <n v="25996"/>
    <n v="4"/>
    <n v="3800"/>
    <x v="0"/>
    <x v="1"/>
  </r>
  <r>
    <s v="IND-2023-1306"/>
    <x v="136"/>
    <s v="CUS-1004"/>
    <s v="Ananya Iyer"/>
    <s v="Bhubaneswar"/>
    <x v="7"/>
    <x v="1"/>
    <x v="27"/>
    <x v="3"/>
    <n v="1480"/>
    <n v="1"/>
    <n v="62.5"/>
    <x v="0"/>
    <x v="1"/>
  </r>
  <r>
    <s v="IND-2023-1307"/>
    <x v="170"/>
    <s v="CUS-1005"/>
    <s v="Rohan Gupta"/>
    <s v="Bhubaneswar"/>
    <x v="7"/>
    <x v="1"/>
    <x v="15"/>
    <x v="4"/>
    <n v="1199"/>
    <n v="1"/>
    <n v="290"/>
    <x v="1"/>
    <x v="1"/>
  </r>
  <r>
    <s v="IND-2023-1308"/>
    <x v="210"/>
    <s v="CUS-1002"/>
    <s v="Priya Patel"/>
    <s v="Chandigarh"/>
    <x v="4"/>
    <x v="2"/>
    <x v="10"/>
    <x v="4"/>
    <n v="8496.6"/>
    <n v="4"/>
    <n v="1475.45"/>
    <x v="0"/>
    <x v="1"/>
  </r>
  <r>
    <s v="IND-2023-1309"/>
    <x v="211"/>
    <s v="CUS-1010"/>
    <s v="Neha Singh"/>
    <s v="Kolkata"/>
    <x v="13"/>
    <x v="1"/>
    <x v="25"/>
    <x v="4"/>
    <n v="5396.4"/>
    <n v="4"/>
    <n v="1070.3"/>
    <x v="3"/>
    <x v="1"/>
  </r>
  <r>
    <s v="IND-2023-1310"/>
    <x v="188"/>
    <s v="CUS-1016"/>
    <s v="Ritu Mehta"/>
    <s v="Indore"/>
    <x v="11"/>
    <x v="3"/>
    <x v="29"/>
    <x v="3"/>
    <n v="10398.4"/>
    <n v="2"/>
    <n v="-49.7"/>
    <x v="3"/>
    <x v="1"/>
  </r>
  <r>
    <s v="IND-2023-1311"/>
    <x v="96"/>
    <s v="CUS-1003"/>
    <s v="Rahul Verma"/>
    <s v="Ahmedabad"/>
    <x v="6"/>
    <x v="3"/>
    <x v="25"/>
    <x v="4"/>
    <n v="3822.45"/>
    <n v="3"/>
    <n v="-573.37"/>
    <x v="0"/>
    <x v="3"/>
  </r>
  <r>
    <s v="IND-2023-1312"/>
    <x v="87"/>
    <s v="CUS-1009"/>
    <s v="Rajesh Kumar"/>
    <s v="Patna"/>
    <x v="1"/>
    <x v="1"/>
    <x v="9"/>
    <x v="0"/>
    <n v="3418.1"/>
    <n v="2"/>
    <n v="625.08000000000004"/>
    <x v="0"/>
    <x v="1"/>
  </r>
  <r>
    <s v="IND-2023-1313"/>
    <x v="205"/>
    <s v="CUS-1019"/>
    <s v="Manish Agarwal"/>
    <s v="Patna"/>
    <x v="1"/>
    <x v="1"/>
    <x v="25"/>
    <x v="4"/>
    <n v="4497"/>
    <n v="3"/>
    <n v="0"/>
    <x v="1"/>
    <x v="0"/>
  </r>
  <r>
    <s v="IND-2023-1314"/>
    <x v="121"/>
    <s v="CUS-1005"/>
    <s v="Rohan Gupta"/>
    <s v="Patna"/>
    <x v="1"/>
    <x v="1"/>
    <x v="2"/>
    <x v="2"/>
    <n v="998"/>
    <n v="2"/>
    <n v="320"/>
    <x v="4"/>
    <x v="1"/>
  </r>
  <r>
    <s v="IND-2023-1315"/>
    <x v="212"/>
    <s v="CUS-1002"/>
    <s v="Priya Patel"/>
    <s v="Delhi"/>
    <x v="3"/>
    <x v="2"/>
    <x v="16"/>
    <x v="4"/>
    <n v="2184.0500000000002"/>
    <n v="1"/>
    <n v="-266.20999999999998"/>
    <x v="3"/>
    <x v="1"/>
  </r>
  <r>
    <s v="IND-2023-1316"/>
    <x v="189"/>
    <s v="CUS-1012"/>
    <s v="Kavita Rao"/>
    <s v="Bengaluru"/>
    <x v="0"/>
    <x v="0"/>
    <x v="12"/>
    <x v="3"/>
    <n v="19998.400000000001"/>
    <n v="2"/>
    <n v="-6649.7"/>
    <x v="0"/>
    <x v="1"/>
  </r>
  <r>
    <s v="IND-2023-1317"/>
    <x v="213"/>
    <s v="CUS-1002"/>
    <s v="Priya Patel"/>
    <s v="Chennai"/>
    <x v="2"/>
    <x v="0"/>
    <x v="22"/>
    <x v="4"/>
    <n v="5180"/>
    <n v="4"/>
    <n v="1240"/>
    <x v="0"/>
    <x v="2"/>
  </r>
  <r>
    <s v="IND-2023-1318"/>
    <x v="201"/>
    <s v="CUS-1004"/>
    <s v="Ananya Iyer"/>
    <s v="Bhubaneswar"/>
    <x v="7"/>
    <x v="1"/>
    <x v="29"/>
    <x v="3"/>
    <n v="23396.400000000001"/>
    <n v="4"/>
    <n v="1850.3"/>
    <x v="4"/>
    <x v="1"/>
  </r>
  <r>
    <s v="IND-2023-1319"/>
    <x v="214"/>
    <s v="CUS-1009"/>
    <s v="Rajesh Kumar"/>
    <s v="Mumbai"/>
    <x v="5"/>
    <x v="3"/>
    <x v="19"/>
    <x v="4"/>
    <n v="5370"/>
    <n v="3"/>
    <n v="1170"/>
    <x v="0"/>
    <x v="1"/>
  </r>
  <r>
    <s v="IND-2023-1320"/>
    <x v="9"/>
    <s v="CUS-1023"/>
    <s v="Gaurav Bansal"/>
    <s v="Ahmedabad"/>
    <x v="6"/>
    <x v="3"/>
    <x v="23"/>
    <x v="2"/>
    <n v="5096.6000000000004"/>
    <n v="4"/>
    <n v="-764.49"/>
    <x v="0"/>
    <x v="3"/>
  </r>
  <r>
    <s v="IND-2023-1321"/>
    <x v="215"/>
    <s v="CUS-1021"/>
    <s v="Arjun Reddy"/>
    <s v="Pune"/>
    <x v="5"/>
    <x v="3"/>
    <x v="30"/>
    <x v="2"/>
    <n v="1298"/>
    <n v="2"/>
    <n v="-194.7"/>
    <x v="0"/>
    <x v="3"/>
  </r>
  <r>
    <s v="IND-2023-1322"/>
    <x v="216"/>
    <s v="CUS-1006"/>
    <s v="Sneha Mukherjee"/>
    <s v="Kolkata"/>
    <x v="13"/>
    <x v="1"/>
    <x v="4"/>
    <x v="1"/>
    <n v="21597.599999999999"/>
    <n v="3"/>
    <n v="-449.55"/>
    <x v="4"/>
    <x v="1"/>
  </r>
  <r>
    <s v="IND-2023-1323"/>
    <x v="217"/>
    <s v="CUS-1001"/>
    <s v="Aarav Sharma"/>
    <s v="Bhubaneswar"/>
    <x v="7"/>
    <x v="1"/>
    <x v="29"/>
    <x v="3"/>
    <n v="12348.1"/>
    <n v="2"/>
    <n v="1412.57"/>
    <x v="4"/>
    <x v="2"/>
  </r>
  <r>
    <s v="IND-2023-1324"/>
    <x v="192"/>
    <s v="CUS-1022"/>
    <s v="Tanvi Deshmukh"/>
    <s v="Delhi"/>
    <x v="3"/>
    <x v="2"/>
    <x v="16"/>
    <x v="4"/>
    <n v="6897"/>
    <n v="3"/>
    <n v="-540"/>
    <x v="4"/>
    <x v="2"/>
  </r>
  <r>
    <s v="IND-2023-1325"/>
    <x v="218"/>
    <s v="CUS-1020"/>
    <s v="Shweta Tiwari"/>
    <s v="Bhubaneswar"/>
    <x v="7"/>
    <x v="1"/>
    <x v="9"/>
    <x v="0"/>
    <n v="1799"/>
    <n v="1"/>
    <n v="380"/>
    <x v="0"/>
    <x v="1"/>
  </r>
  <r>
    <s v="IND-2023-1326"/>
    <x v="63"/>
    <s v="CUS-1005"/>
    <s v="Rohan Gupta"/>
    <s v="Bengaluru"/>
    <x v="0"/>
    <x v="0"/>
    <x v="2"/>
    <x v="2"/>
    <n v="1596.8"/>
    <n v="4"/>
    <n v="340.6"/>
    <x v="4"/>
    <x v="1"/>
  </r>
  <r>
    <s v="IND-2023-1327"/>
    <x v="135"/>
    <s v="CUS-1015"/>
    <s v="Karan Kapoor"/>
    <s v="Patna"/>
    <x v="1"/>
    <x v="1"/>
    <x v="30"/>
    <x v="2"/>
    <n v="616.54999999999995"/>
    <n v="1"/>
    <n v="-92.48"/>
    <x v="4"/>
    <x v="3"/>
  </r>
  <r>
    <s v="IND-2023-1328"/>
    <x v="219"/>
    <s v="CUS-1024"/>
    <s v="Meera Nambiar"/>
    <s v="Kolkata"/>
    <x v="13"/>
    <x v="1"/>
    <x v="8"/>
    <x v="1"/>
    <n v="41990"/>
    <n v="1"/>
    <n v="-6298.5"/>
    <x v="0"/>
    <x v="3"/>
  </r>
  <r>
    <s v="IND-2023-1329"/>
    <x v="212"/>
    <s v="CUS-1013"/>
    <s v="Amit Mishra"/>
    <s v="Indore"/>
    <x v="11"/>
    <x v="3"/>
    <x v="4"/>
    <x v="1"/>
    <n v="17998"/>
    <n v="2"/>
    <n v="2400"/>
    <x v="0"/>
    <x v="1"/>
  </r>
  <r>
    <s v="IND-2023-1330"/>
    <x v="72"/>
    <s v="CUS-1004"/>
    <s v="Ananya Iyer"/>
    <s v="Ahmedabad"/>
    <x v="6"/>
    <x v="3"/>
    <x v="13"/>
    <x v="1"/>
    <n v="52240.5"/>
    <n v="1"/>
    <n v="3737.88"/>
    <x v="1"/>
    <x v="1"/>
  </r>
  <r>
    <s v="IND-2023-1331"/>
    <x v="83"/>
    <s v="CUS-1018"/>
    <s v="Divya Pillai"/>
    <s v="Patna"/>
    <x v="1"/>
    <x v="1"/>
    <x v="1"/>
    <x v="1"/>
    <n v="2547"/>
    <n v="3"/>
    <n v="630"/>
    <x v="2"/>
    <x v="1"/>
  </r>
  <r>
    <s v="IND-2023-1332"/>
    <x v="153"/>
    <s v="CUS-1012"/>
    <s v="Kavita Rao"/>
    <s v="Lucknow"/>
    <x v="10"/>
    <x v="2"/>
    <x v="30"/>
    <x v="2"/>
    <n v="649"/>
    <n v="1"/>
    <n v="220"/>
    <x v="4"/>
    <x v="1"/>
  </r>
  <r>
    <s v="IND-2023-1333"/>
    <x v="220"/>
    <s v="CUS-1004"/>
    <s v="Ananya Iyer"/>
    <s v="Hyderabad"/>
    <x v="8"/>
    <x v="0"/>
    <x v="3"/>
    <x v="0"/>
    <n v="2208.3000000000002"/>
    <n v="2"/>
    <n v="0"/>
    <x v="0"/>
    <x v="0"/>
  </r>
  <r>
    <s v="IND-2023-1334"/>
    <x v="221"/>
    <s v="CUS-1009"/>
    <s v="Rajesh Kumar"/>
    <s v="Kolkata"/>
    <x v="13"/>
    <x v="1"/>
    <x v="18"/>
    <x v="1"/>
    <n v="1196"/>
    <n v="1"/>
    <n v="125.75"/>
    <x v="0"/>
    <x v="1"/>
  </r>
  <r>
    <s v="IND-2023-1335"/>
    <x v="222"/>
    <s v="CUS-1018"/>
    <s v="Divya Pillai"/>
    <s v="Ahmedabad"/>
    <x v="6"/>
    <x v="3"/>
    <x v="8"/>
    <x v="1"/>
    <n v="41990"/>
    <n v="1"/>
    <n v="4500"/>
    <x v="3"/>
    <x v="4"/>
  </r>
  <r>
    <s v="IND-2023-1336"/>
    <x v="186"/>
    <s v="CUS-1003"/>
    <s v="Rahul Verma"/>
    <s v="Patna"/>
    <x v="1"/>
    <x v="1"/>
    <x v="21"/>
    <x v="4"/>
    <n v="5697.15"/>
    <n v="3"/>
    <n v="1335.11"/>
    <x v="0"/>
    <x v="2"/>
  </r>
  <r>
    <s v="IND-2023-1337"/>
    <x v="223"/>
    <s v="CUS-1022"/>
    <s v="Tanvi Deshmukh"/>
    <s v="Ahmedabad"/>
    <x v="6"/>
    <x v="3"/>
    <x v="17"/>
    <x v="0"/>
    <n v="159996"/>
    <n v="4"/>
    <n v="19200"/>
    <x v="1"/>
    <x v="1"/>
  </r>
  <r>
    <s v="IND-2023-1338"/>
    <x v="185"/>
    <s v="CUS-1022"/>
    <s v="Tanvi Deshmukh"/>
    <s v="Patna"/>
    <x v="1"/>
    <x v="1"/>
    <x v="8"/>
    <x v="1"/>
    <n v="119671.5"/>
    <n v="3"/>
    <n v="8776.1200000000008"/>
    <x v="2"/>
    <x v="1"/>
  </r>
  <r>
    <s v="IND-2023-1339"/>
    <x v="196"/>
    <s v="CUS-1010"/>
    <s v="Neha Singh"/>
    <s v="Lucknow"/>
    <x v="10"/>
    <x v="2"/>
    <x v="7"/>
    <x v="1"/>
    <n v="116970"/>
    <n v="3"/>
    <n v="12300"/>
    <x v="0"/>
    <x v="2"/>
  </r>
  <r>
    <s v="IND-2023-1340"/>
    <x v="81"/>
    <s v="CUS-1011"/>
    <s v="Aditya Joshi"/>
    <s v="Mumbai"/>
    <x v="5"/>
    <x v="3"/>
    <x v="2"/>
    <x v="2"/>
    <n v="1996"/>
    <n v="4"/>
    <n v="640"/>
    <x v="0"/>
    <x v="1"/>
  </r>
  <r>
    <s v="IND-2023-1341"/>
    <x v="76"/>
    <s v="CUS-1006"/>
    <s v="Sneha Mukherjee"/>
    <s v="Kochi"/>
    <x v="9"/>
    <x v="0"/>
    <x v="31"/>
    <x v="0"/>
    <n v="56097.45"/>
    <n v="3"/>
    <n v="-224.66"/>
    <x v="0"/>
    <x v="1"/>
  </r>
  <r>
    <s v="IND-2023-1342"/>
    <x v="224"/>
    <s v="CUS-1021"/>
    <s v="Arjun Reddy"/>
    <s v="Hyderabad"/>
    <x v="8"/>
    <x v="0"/>
    <x v="5"/>
    <x v="3"/>
    <n v="756"/>
    <n v="1"/>
    <n v="68.25"/>
    <x v="2"/>
    <x v="4"/>
  </r>
  <r>
    <s v="IND-2023-1343"/>
    <x v="225"/>
    <s v="CUS-1003"/>
    <s v="Rahul Verma"/>
    <s v="Indore"/>
    <x v="11"/>
    <x v="3"/>
    <x v="5"/>
    <x v="3"/>
    <n v="3213"/>
    <n v="4"/>
    <n v="414.75"/>
    <x v="4"/>
    <x v="1"/>
  </r>
  <r>
    <s v="IND-2023-1344"/>
    <x v="157"/>
    <s v="CUS-1014"/>
    <s v="Sunita Das"/>
    <s v="Kolkata"/>
    <x v="13"/>
    <x v="1"/>
    <x v="11"/>
    <x v="0"/>
    <n v="719.1"/>
    <n v="1"/>
    <n v="190.07"/>
    <x v="3"/>
    <x v="4"/>
  </r>
  <r>
    <s v="IND-2023-1345"/>
    <x v="173"/>
    <s v="CUS-1005"/>
    <s v="Rohan Gupta"/>
    <s v="Chennai"/>
    <x v="2"/>
    <x v="0"/>
    <x v="3"/>
    <x v="0"/>
    <n v="1169.0999999999999"/>
    <n v="1"/>
    <n v="222.57"/>
    <x v="0"/>
    <x v="1"/>
  </r>
  <r>
    <s v="IND-2023-1346"/>
    <x v="45"/>
    <s v="CUS-1001"/>
    <s v="Aarav Sharma"/>
    <s v="Kolkata"/>
    <x v="13"/>
    <x v="1"/>
    <x v="15"/>
    <x v="4"/>
    <n v="4076.6"/>
    <n v="4"/>
    <n v="620.45000000000005"/>
    <x v="0"/>
    <x v="1"/>
  </r>
  <r>
    <s v="IND-2023-1347"/>
    <x v="137"/>
    <s v="CUS-1008"/>
    <s v="Pooja Nair"/>
    <s v="Chandigarh"/>
    <x v="4"/>
    <x v="2"/>
    <x v="24"/>
    <x v="3"/>
    <n v="17196"/>
    <n v="4"/>
    <n v="2880"/>
    <x v="3"/>
    <x v="1"/>
  </r>
  <r>
    <s v="IND-2023-1348"/>
    <x v="226"/>
    <s v="CUS-1004"/>
    <s v="Ananya Iyer"/>
    <s v="Lucknow"/>
    <x v="10"/>
    <x v="2"/>
    <x v="14"/>
    <x v="3"/>
    <n v="764.15"/>
    <n v="1"/>
    <n v="-221.14"/>
    <x v="0"/>
    <x v="1"/>
  </r>
  <r>
    <s v="IND-2023-1349"/>
    <x v="193"/>
    <s v="CUS-1014"/>
    <s v="Sunita Das"/>
    <s v="Bhubaneswar"/>
    <x v="7"/>
    <x v="1"/>
    <x v="5"/>
    <x v="3"/>
    <n v="756"/>
    <n v="1"/>
    <n v="68.25"/>
    <x v="1"/>
    <x v="1"/>
  </r>
  <r>
    <s v="IND-2023-1350"/>
    <x v="9"/>
    <s v="CUS-1001"/>
    <s v="Aarav Sharma"/>
    <s v="Ahmedabad"/>
    <x v="6"/>
    <x v="3"/>
    <x v="5"/>
    <x v="3"/>
    <n v="2268"/>
    <n v="3"/>
    <n v="204.75"/>
    <x v="0"/>
    <x v="1"/>
  </r>
  <r>
    <s v="IND-2023-1351"/>
    <x v="225"/>
    <s v="CUS-1018"/>
    <s v="Divya Pillai"/>
    <s v="Mumbai"/>
    <x v="5"/>
    <x v="3"/>
    <x v="20"/>
    <x v="3"/>
    <n v="6398"/>
    <n v="2"/>
    <n v="1100"/>
    <x v="0"/>
    <x v="1"/>
  </r>
  <r>
    <s v="IND-2023-1352"/>
    <x v="227"/>
    <s v="CUS-1002"/>
    <s v="Priya Patel"/>
    <s v="Chandigarh"/>
    <x v="4"/>
    <x v="2"/>
    <x v="4"/>
    <x v="1"/>
    <n v="26997"/>
    <n v="3"/>
    <n v="3600"/>
    <x v="3"/>
    <x v="1"/>
  </r>
  <r>
    <s v="IND-2023-1353"/>
    <x v="13"/>
    <s v="CUS-1007"/>
    <s v="Vikram Malhotra"/>
    <s v="Chandigarh"/>
    <x v="4"/>
    <x v="2"/>
    <x v="2"/>
    <x v="2"/>
    <n v="474.05"/>
    <n v="1"/>
    <n v="141.29"/>
    <x v="0"/>
    <x v="1"/>
  </r>
  <r>
    <s v="IND-2023-1354"/>
    <x v="204"/>
    <s v="CUS-1004"/>
    <s v="Ananya Iyer"/>
    <s v="Kolkata"/>
    <x v="13"/>
    <x v="1"/>
    <x v="8"/>
    <x v="1"/>
    <n v="33592"/>
    <n v="1"/>
    <n v="-1798.5"/>
    <x v="0"/>
    <x v="1"/>
  </r>
  <r>
    <s v="IND-2023-1355"/>
    <x v="86"/>
    <s v="CUS-1011"/>
    <s v="Aditya Joshi"/>
    <s v="Ahmedabad"/>
    <x v="6"/>
    <x v="3"/>
    <x v="2"/>
    <x v="2"/>
    <n v="998"/>
    <n v="2"/>
    <n v="320"/>
    <x v="4"/>
    <x v="1"/>
  </r>
  <r>
    <s v="IND-2023-1356"/>
    <x v="202"/>
    <s v="CUS-1019"/>
    <s v="Manish Agarwal"/>
    <s v="Delhi"/>
    <x v="3"/>
    <x v="2"/>
    <x v="16"/>
    <x v="4"/>
    <n v="4368.1000000000004"/>
    <n v="2"/>
    <n v="-532.41999999999996"/>
    <x v="2"/>
    <x v="4"/>
  </r>
  <r>
    <s v="IND-2023-1357"/>
    <x v="228"/>
    <s v="CUS-1007"/>
    <s v="Vikram Malhotra"/>
    <s v="Bengaluru"/>
    <x v="0"/>
    <x v="0"/>
    <x v="2"/>
    <x v="2"/>
    <n v="499"/>
    <n v="1"/>
    <n v="160"/>
    <x v="4"/>
    <x v="1"/>
  </r>
  <r>
    <s v="IND-2023-1358"/>
    <x v="10"/>
    <s v="CUS-1005"/>
    <s v="Rohan Gupta"/>
    <s v="Indore"/>
    <x v="11"/>
    <x v="3"/>
    <x v="8"/>
    <x v="1"/>
    <n v="119671.5"/>
    <n v="3"/>
    <n v="8776.1200000000008"/>
    <x v="0"/>
    <x v="1"/>
  </r>
  <r>
    <s v="IND-2023-1359"/>
    <x v="168"/>
    <s v="CUS-1017"/>
    <s v="Deepak Chopra"/>
    <s v="Kolkata"/>
    <x v="13"/>
    <x v="1"/>
    <x v="31"/>
    <x v="0"/>
    <n v="18699.150000000001"/>
    <n v="1"/>
    <n v="-74.89"/>
    <x v="0"/>
    <x v="2"/>
  </r>
  <r>
    <s v="IND-2023-1360"/>
    <x v="177"/>
    <s v="CUS-1017"/>
    <s v="Deepak Chopra"/>
    <s v="Delhi"/>
    <x v="3"/>
    <x v="2"/>
    <x v="11"/>
    <x v="0"/>
    <n v="1917.6"/>
    <n v="3"/>
    <n v="390.45"/>
    <x v="0"/>
    <x v="1"/>
  </r>
  <r>
    <s v="IND-2023-1361"/>
    <x v="89"/>
    <s v="CUS-1014"/>
    <s v="Sunita Das"/>
    <s v="Mumbai"/>
    <x v="5"/>
    <x v="3"/>
    <x v="22"/>
    <x v="4"/>
    <n v="2590"/>
    <n v="2"/>
    <n v="620"/>
    <x v="3"/>
    <x v="1"/>
  </r>
  <r>
    <s v="IND-2023-1362"/>
    <x v="62"/>
    <s v="CUS-1017"/>
    <s v="Deepak Chopra"/>
    <s v="Bhubaneswar"/>
    <x v="7"/>
    <x v="1"/>
    <x v="4"/>
    <x v="1"/>
    <n v="28796.799999999999"/>
    <n v="4"/>
    <n v="-599.4"/>
    <x v="0"/>
    <x v="1"/>
  </r>
  <r>
    <s v="IND-2023-1363"/>
    <x v="143"/>
    <s v="CUS-1004"/>
    <s v="Ananya Iyer"/>
    <s v="Lucknow"/>
    <x v="10"/>
    <x v="2"/>
    <x v="12"/>
    <x v="3"/>
    <n v="12499"/>
    <n v="1"/>
    <n v="-1450"/>
    <x v="0"/>
    <x v="1"/>
  </r>
  <r>
    <s v="IND-2023-1364"/>
    <x v="227"/>
    <s v="CUS-1022"/>
    <s v="Tanvi Deshmukh"/>
    <s v="Lucknow"/>
    <x v="10"/>
    <x v="2"/>
    <x v="11"/>
    <x v="0"/>
    <n v="2397"/>
    <n v="3"/>
    <n v="750"/>
    <x v="3"/>
    <x v="1"/>
  </r>
  <r>
    <s v="IND-2023-1365"/>
    <x v="229"/>
    <s v="CUS-1009"/>
    <s v="Rajesh Kumar"/>
    <s v="Jaipur"/>
    <x v="12"/>
    <x v="2"/>
    <x v="3"/>
    <x v="0"/>
    <n v="5196"/>
    <n v="4"/>
    <n v="1280"/>
    <x v="3"/>
    <x v="1"/>
  </r>
  <r>
    <s v="IND-2023-1366"/>
    <x v="230"/>
    <s v="CUS-1011"/>
    <s v="Aditya Joshi"/>
    <s v="Jaipur"/>
    <x v="12"/>
    <x v="2"/>
    <x v="22"/>
    <x v="4"/>
    <n v="4403"/>
    <n v="4"/>
    <n v="657.25"/>
    <x v="0"/>
    <x v="1"/>
  </r>
  <r>
    <s v="IND-2023-1367"/>
    <x v="143"/>
    <s v="CUS-1019"/>
    <s v="Manish Agarwal"/>
    <s v="Pune"/>
    <x v="5"/>
    <x v="3"/>
    <x v="28"/>
    <x v="0"/>
    <n v="103998.39999999999"/>
    <n v="2"/>
    <n v="-5099.7"/>
    <x v="3"/>
    <x v="1"/>
  </r>
  <r>
    <s v="IND-2023-1368"/>
    <x v="145"/>
    <s v="CUS-1025"/>
    <s v="Siddharth Sen"/>
    <s v="Lucknow"/>
    <x v="10"/>
    <x v="2"/>
    <x v="12"/>
    <x v="3"/>
    <n v="24998"/>
    <n v="2"/>
    <n v="0"/>
    <x v="3"/>
    <x v="0"/>
  </r>
  <r>
    <s v="IND-2023-1369"/>
    <x v="42"/>
    <s v="CUS-1003"/>
    <s v="Rahul Verma"/>
    <s v="Hyderabad"/>
    <x v="8"/>
    <x v="0"/>
    <x v="12"/>
    <x v="3"/>
    <n v="11249.1"/>
    <n v="1"/>
    <n v="-2387.4299999999998"/>
    <x v="3"/>
    <x v="1"/>
  </r>
  <r>
    <s v="IND-2023-1370"/>
    <x v="149"/>
    <s v="CUS-1023"/>
    <s v="Gaurav Bansal"/>
    <s v="Indore"/>
    <x v="11"/>
    <x v="3"/>
    <x v="10"/>
    <x v="4"/>
    <n v="7996.8"/>
    <n v="4"/>
    <n v="1100.5999999999999"/>
    <x v="3"/>
    <x v="1"/>
  </r>
  <r>
    <s v="IND-2023-1371"/>
    <x v="2"/>
    <s v="CUS-1025"/>
    <s v="Siddharth Sen"/>
    <s v="Indore"/>
    <x v="11"/>
    <x v="3"/>
    <x v="30"/>
    <x v="2"/>
    <n v="1947"/>
    <n v="3"/>
    <n v="660"/>
    <x v="0"/>
    <x v="1"/>
  </r>
  <r>
    <s v="IND-2023-1372"/>
    <x v="130"/>
    <s v="CUS-1024"/>
    <s v="Meera Nambiar"/>
    <s v="Patna"/>
    <x v="1"/>
    <x v="1"/>
    <x v="17"/>
    <x v="0"/>
    <n v="79998"/>
    <n v="2"/>
    <n v="9600"/>
    <x v="1"/>
    <x v="4"/>
  </r>
  <r>
    <s v="IND-2023-1373"/>
    <x v="200"/>
    <s v="CUS-1020"/>
    <s v="Shweta Tiwari"/>
    <s v="Pune"/>
    <x v="5"/>
    <x v="3"/>
    <x v="27"/>
    <x v="3"/>
    <n v="5550"/>
    <n v="3"/>
    <n v="1020"/>
    <x v="1"/>
    <x v="1"/>
  </r>
  <r>
    <s v="IND-2023-1374"/>
    <x v="216"/>
    <s v="CUS-1011"/>
    <s v="Aditya Joshi"/>
    <s v="Pune"/>
    <x v="5"/>
    <x v="3"/>
    <x v="25"/>
    <x v="4"/>
    <n v="2548.3000000000002"/>
    <n v="2"/>
    <n v="422.73"/>
    <x v="0"/>
    <x v="1"/>
  </r>
  <r>
    <s v="IND-2023-1375"/>
    <x v="122"/>
    <s v="CUS-1006"/>
    <s v="Sneha Mukherjee"/>
    <s v="Bengaluru"/>
    <x v="0"/>
    <x v="0"/>
    <x v="11"/>
    <x v="0"/>
    <n v="719.1"/>
    <n v="1"/>
    <n v="190.07"/>
    <x v="0"/>
    <x v="1"/>
  </r>
  <r>
    <s v="IND-2023-1376"/>
    <x v="231"/>
    <s v="CUS-1014"/>
    <s v="Sunita Das"/>
    <s v="Kolkata"/>
    <x v="13"/>
    <x v="1"/>
    <x v="25"/>
    <x v="4"/>
    <n v="5996"/>
    <n v="4"/>
    <n v="1520"/>
    <x v="4"/>
    <x v="4"/>
  </r>
  <r>
    <s v="IND-2023-1377"/>
    <x v="22"/>
    <s v="CUS-1018"/>
    <s v="Divya Pillai"/>
    <s v="Kolkata"/>
    <x v="13"/>
    <x v="1"/>
    <x v="17"/>
    <x v="0"/>
    <n v="67998.3"/>
    <n v="2"/>
    <n v="600.23"/>
    <x v="0"/>
    <x v="1"/>
  </r>
  <r>
    <s v="IND-2023-1378"/>
    <x v="145"/>
    <s v="CUS-1012"/>
    <s v="Kavita Rao"/>
    <s v="Lucknow"/>
    <x v="10"/>
    <x v="2"/>
    <x v="5"/>
    <x v="3"/>
    <n v="1606.5"/>
    <n v="2"/>
    <n v="207.38"/>
    <x v="4"/>
    <x v="1"/>
  </r>
  <r>
    <s v="IND-2023-1379"/>
    <x v="232"/>
    <s v="CUS-1007"/>
    <s v="Vikram Malhotra"/>
    <s v="Hyderabad"/>
    <x v="8"/>
    <x v="0"/>
    <x v="2"/>
    <x v="2"/>
    <n v="1996"/>
    <n v="4"/>
    <n v="640"/>
    <x v="0"/>
    <x v="1"/>
  </r>
  <r>
    <s v="IND-2023-1380"/>
    <x v="233"/>
    <s v="CUS-1005"/>
    <s v="Rohan Gupta"/>
    <s v="Kolkata"/>
    <x v="13"/>
    <x v="1"/>
    <x v="31"/>
    <x v="0"/>
    <n v="21999"/>
    <n v="1"/>
    <n v="2400"/>
    <x v="1"/>
    <x v="1"/>
  </r>
  <r>
    <s v="IND-2023-1381"/>
    <x v="64"/>
    <s v="CUS-1024"/>
    <s v="Meera Nambiar"/>
    <s v="Hyderabad"/>
    <x v="8"/>
    <x v="0"/>
    <x v="14"/>
    <x v="3"/>
    <n v="2427.3000000000002"/>
    <n v="3"/>
    <n v="-562.27"/>
    <x v="0"/>
    <x v="1"/>
  </r>
  <r>
    <s v="IND-2023-1382"/>
    <x v="140"/>
    <s v="CUS-1016"/>
    <s v="Ritu Mehta"/>
    <s v="Patna"/>
    <x v="1"/>
    <x v="1"/>
    <x v="18"/>
    <x v="1"/>
    <n v="1345.5"/>
    <n v="1"/>
    <n v="237.88"/>
    <x v="1"/>
    <x v="1"/>
  </r>
  <r>
    <s v="IND-2023-1383"/>
    <x v="155"/>
    <s v="CUS-1011"/>
    <s v="Aditya Joshi"/>
    <s v="Chennai"/>
    <x v="2"/>
    <x v="0"/>
    <x v="3"/>
    <x v="0"/>
    <n v="3312.45"/>
    <n v="3"/>
    <n v="521.59"/>
    <x v="3"/>
    <x v="1"/>
  </r>
  <r>
    <s v="IND-2023-1384"/>
    <x v="207"/>
    <s v="CUS-1019"/>
    <s v="Manish Agarwal"/>
    <s v="Mumbai"/>
    <x v="5"/>
    <x v="3"/>
    <x v="8"/>
    <x v="1"/>
    <n v="79781"/>
    <n v="2"/>
    <n v="5850.75"/>
    <x v="3"/>
    <x v="1"/>
  </r>
  <r>
    <s v="IND-2023-1385"/>
    <x v="234"/>
    <s v="CUS-1009"/>
    <s v="Rajesh Kumar"/>
    <s v="Chandigarh"/>
    <x v="4"/>
    <x v="2"/>
    <x v="18"/>
    <x v="1"/>
    <n v="5382"/>
    <n v="4"/>
    <n v="-807.3"/>
    <x v="0"/>
    <x v="3"/>
  </r>
  <r>
    <s v="IND-2023-1386"/>
    <x v="189"/>
    <s v="CUS-1003"/>
    <s v="Rahul Verma"/>
    <s v="Patna"/>
    <x v="1"/>
    <x v="1"/>
    <x v="24"/>
    <x v="3"/>
    <n v="17196"/>
    <n v="4"/>
    <n v="2880"/>
    <x v="0"/>
    <x v="1"/>
  </r>
  <r>
    <s v="IND-2023-1387"/>
    <x v="235"/>
    <s v="CUS-1019"/>
    <s v="Manish Agarwal"/>
    <s v="Mumbai"/>
    <x v="5"/>
    <x v="3"/>
    <x v="12"/>
    <x v="3"/>
    <n v="11249.1"/>
    <n v="1"/>
    <n v="-2387.4299999999998"/>
    <x v="1"/>
    <x v="2"/>
  </r>
  <r>
    <s v="IND-2023-1388"/>
    <x v="140"/>
    <s v="CUS-1003"/>
    <s v="Rahul Verma"/>
    <s v="Chennai"/>
    <x v="2"/>
    <x v="0"/>
    <x v="31"/>
    <x v="0"/>
    <n v="18699.150000000001"/>
    <n v="1"/>
    <n v="-74.89"/>
    <x v="2"/>
    <x v="1"/>
  </r>
  <r>
    <s v="IND-2023-1389"/>
    <x v="236"/>
    <s v="CUS-1018"/>
    <s v="Divya Pillai"/>
    <s v="Kolkata"/>
    <x v="13"/>
    <x v="1"/>
    <x v="3"/>
    <x v="0"/>
    <n v="3312.45"/>
    <n v="3"/>
    <n v="521.59"/>
    <x v="0"/>
    <x v="1"/>
  </r>
  <r>
    <s v="IND-2023-1390"/>
    <x v="235"/>
    <s v="CUS-1018"/>
    <s v="Divya Pillai"/>
    <s v="Pune"/>
    <x v="5"/>
    <x v="3"/>
    <x v="17"/>
    <x v="0"/>
    <n v="151996.20000000001"/>
    <n v="4"/>
    <n v="13200.15"/>
    <x v="1"/>
    <x v="1"/>
  </r>
  <r>
    <s v="IND-2023-1391"/>
    <x v="172"/>
    <s v="CUS-1014"/>
    <s v="Sunita Das"/>
    <s v="Kolkata"/>
    <x v="13"/>
    <x v="1"/>
    <x v="8"/>
    <x v="1"/>
    <n v="142766"/>
    <n v="4"/>
    <n v="-895.5"/>
    <x v="2"/>
    <x v="1"/>
  </r>
  <r>
    <s v="IND-2023-1392"/>
    <x v="158"/>
    <s v="CUS-1012"/>
    <s v="Kavita Rao"/>
    <s v="Kolkata"/>
    <x v="13"/>
    <x v="1"/>
    <x v="21"/>
    <x v="4"/>
    <n v="6796.6"/>
    <n v="4"/>
    <n v="1180.45"/>
    <x v="1"/>
    <x v="1"/>
  </r>
  <r>
    <s v="IND-2023-1393"/>
    <x v="184"/>
    <s v="CUS-1016"/>
    <s v="Ritu Mehta"/>
    <s v="Pune"/>
    <x v="5"/>
    <x v="3"/>
    <x v="10"/>
    <x v="4"/>
    <n v="6372.45"/>
    <n v="3"/>
    <n v="1106.5899999999999"/>
    <x v="0"/>
    <x v="1"/>
  </r>
  <r>
    <s v="IND-2023-1394"/>
    <x v="128"/>
    <s v="CUS-1001"/>
    <s v="Aarav Sharma"/>
    <s v="Bhubaneswar"/>
    <x v="7"/>
    <x v="1"/>
    <x v="25"/>
    <x v="4"/>
    <n v="4272.1499999999996"/>
    <n v="3"/>
    <n v="971.36"/>
    <x v="3"/>
    <x v="1"/>
  </r>
  <r>
    <s v="IND-2023-1395"/>
    <x v="237"/>
    <s v="CUS-1021"/>
    <s v="Arjun Reddy"/>
    <s v="Lucknow"/>
    <x v="10"/>
    <x v="2"/>
    <x v="28"/>
    <x v="0"/>
    <n v="259996"/>
    <n v="4"/>
    <n v="28800"/>
    <x v="3"/>
    <x v="1"/>
  </r>
  <r>
    <s v="IND-2023-1396"/>
    <x v="3"/>
    <s v="CUS-1002"/>
    <s v="Priya Patel"/>
    <s v="Lucknow"/>
    <x v="10"/>
    <x v="2"/>
    <x v="24"/>
    <x v="3"/>
    <n v="12252.15"/>
    <n v="3"/>
    <n v="1676.36"/>
    <x v="3"/>
    <x v="2"/>
  </r>
  <r>
    <s v="IND-2023-1397"/>
    <x v="238"/>
    <s v="CUS-1014"/>
    <s v="Sunita Das"/>
    <s v="Indore"/>
    <x v="11"/>
    <x v="3"/>
    <x v="15"/>
    <x v="4"/>
    <n v="3237.3"/>
    <n v="3"/>
    <n v="600.22"/>
    <x v="0"/>
    <x v="1"/>
  </r>
  <r>
    <s v="IND-2023-1398"/>
    <x v="211"/>
    <s v="CUS-1020"/>
    <s v="Shweta Tiwari"/>
    <s v="Patna"/>
    <x v="1"/>
    <x v="1"/>
    <x v="23"/>
    <x v="2"/>
    <n v="5696.2"/>
    <n v="4"/>
    <n v="1215.1500000000001"/>
    <x v="1"/>
    <x v="1"/>
  </r>
  <r>
    <s v="IND-2023-1399"/>
    <x v="16"/>
    <s v="CUS-1006"/>
    <s v="Sneha Mukherjee"/>
    <s v="Chandigarh"/>
    <x v="4"/>
    <x v="2"/>
    <x v="1"/>
    <x v="1"/>
    <n v="2547"/>
    <n v="3"/>
    <n v="630"/>
    <x v="1"/>
    <x v="1"/>
  </r>
  <r>
    <s v="IND-2023-1400"/>
    <x v="239"/>
    <s v="CUS-1022"/>
    <s v="Tanvi Deshmukh"/>
    <s v="Chandigarh"/>
    <x v="4"/>
    <x v="2"/>
    <x v="16"/>
    <x v="4"/>
    <n v="5517.6"/>
    <n v="3"/>
    <n v="-1574.55"/>
    <x v="4"/>
    <x v="2"/>
  </r>
  <r>
    <s v="IND-2023-1401"/>
    <x v="146"/>
    <s v="CUS-1022"/>
    <s v="Tanvi Deshmukh"/>
    <s v="Bhubaneswar"/>
    <x v="7"/>
    <x v="1"/>
    <x v="0"/>
    <x v="0"/>
    <n v="1139.05"/>
    <n v="1"/>
    <n v="215.04"/>
    <x v="3"/>
    <x v="1"/>
  </r>
  <r>
    <s v="IND-2023-1402"/>
    <x v="228"/>
    <s v="CUS-1022"/>
    <s v="Tanvi Deshmukh"/>
    <s v="Bhubaneswar"/>
    <x v="7"/>
    <x v="1"/>
    <x v="31"/>
    <x v="0"/>
    <n v="41798.1"/>
    <n v="2"/>
    <n v="3150.07"/>
    <x v="1"/>
    <x v="1"/>
  </r>
  <r>
    <s v="IND-2023-1403"/>
    <x v="240"/>
    <s v="CUS-1004"/>
    <s v="Ananya Iyer"/>
    <s v="Patna"/>
    <x v="1"/>
    <x v="1"/>
    <x v="22"/>
    <x v="4"/>
    <n v="5180"/>
    <n v="4"/>
    <n v="1240"/>
    <x v="1"/>
    <x v="1"/>
  </r>
  <r>
    <s v="IND-2023-1404"/>
    <x v="241"/>
    <s v="CUS-1013"/>
    <s v="Amit Mishra"/>
    <s v="Bengaluru"/>
    <x v="0"/>
    <x v="0"/>
    <x v="3"/>
    <x v="0"/>
    <n v="1299"/>
    <n v="1"/>
    <n v="320"/>
    <x v="2"/>
    <x v="1"/>
  </r>
  <r>
    <s v="IND-2023-1405"/>
    <x v="45"/>
    <s v="CUS-1019"/>
    <s v="Manish Agarwal"/>
    <s v="Jaipur"/>
    <x v="12"/>
    <x v="2"/>
    <x v="22"/>
    <x v="4"/>
    <n v="4403"/>
    <n v="4"/>
    <n v="-660.45"/>
    <x v="2"/>
    <x v="3"/>
  </r>
  <r>
    <s v="IND-2023-1406"/>
    <x v="39"/>
    <s v="CUS-1015"/>
    <s v="Karan Kapoor"/>
    <s v="Kolkata"/>
    <x v="13"/>
    <x v="1"/>
    <x v="13"/>
    <x v="1"/>
    <n v="164970"/>
    <n v="3"/>
    <n v="17400"/>
    <x v="0"/>
    <x v="1"/>
  </r>
  <r>
    <s v="IND-2023-1407"/>
    <x v="242"/>
    <s v="CUS-1025"/>
    <s v="Siddharth Sen"/>
    <s v="Kolkata"/>
    <x v="13"/>
    <x v="1"/>
    <x v="26"/>
    <x v="2"/>
    <n v="472.5"/>
    <n v="1"/>
    <n v="135.62"/>
    <x v="0"/>
    <x v="1"/>
  </r>
  <r>
    <s v="IND-2023-1408"/>
    <x v="243"/>
    <s v="CUS-1020"/>
    <s v="Shweta Tiwari"/>
    <s v="Mumbai"/>
    <x v="5"/>
    <x v="3"/>
    <x v="31"/>
    <x v="0"/>
    <n v="70396.800000000003"/>
    <n v="4"/>
    <n v="-3599.4"/>
    <x v="0"/>
    <x v="1"/>
  </r>
  <r>
    <s v="IND-2023-1409"/>
    <x v="125"/>
    <s v="CUS-1010"/>
    <s v="Neha Singh"/>
    <s v="Kolkata"/>
    <x v="13"/>
    <x v="1"/>
    <x v="1"/>
    <x v="1"/>
    <n v="1698"/>
    <n v="2"/>
    <n v="420"/>
    <x v="0"/>
    <x v="1"/>
  </r>
  <r>
    <s v="IND-2023-1410"/>
    <x v="192"/>
    <s v="CUS-1008"/>
    <s v="Pooja Nair"/>
    <s v="Jaipur"/>
    <x v="12"/>
    <x v="2"/>
    <x v="2"/>
    <x v="2"/>
    <n v="499"/>
    <n v="1"/>
    <n v="160"/>
    <x v="2"/>
    <x v="2"/>
  </r>
  <r>
    <s v="IND-2023-1411"/>
    <x v="101"/>
    <s v="CUS-1024"/>
    <s v="Meera Nambiar"/>
    <s v="Chennai"/>
    <x v="2"/>
    <x v="0"/>
    <x v="0"/>
    <x v="0"/>
    <n v="2158.1999999999998"/>
    <n v="2"/>
    <n v="340.15"/>
    <x v="3"/>
    <x v="4"/>
  </r>
  <r>
    <s v="IND-2023-1412"/>
    <x v="75"/>
    <s v="CUS-1015"/>
    <s v="Karan Kapoor"/>
    <s v="Mumbai"/>
    <x v="5"/>
    <x v="3"/>
    <x v="17"/>
    <x v="0"/>
    <n v="143996.4"/>
    <n v="4"/>
    <n v="0"/>
    <x v="3"/>
    <x v="0"/>
  </r>
  <r>
    <s v="IND-2023-1413"/>
    <x v="243"/>
    <s v="CUS-1020"/>
    <s v="Shweta Tiwari"/>
    <s v="Delhi"/>
    <x v="3"/>
    <x v="2"/>
    <x v="16"/>
    <x v="4"/>
    <n v="9196"/>
    <n v="4"/>
    <n v="-720"/>
    <x v="0"/>
    <x v="1"/>
  </r>
  <r>
    <s v="IND-2023-1414"/>
    <x v="244"/>
    <s v="CUS-1006"/>
    <s v="Sneha Mukherjee"/>
    <s v="Mumbai"/>
    <x v="5"/>
    <x v="3"/>
    <x v="21"/>
    <x v="4"/>
    <n v="6396.8"/>
    <n v="4"/>
    <n v="880.6"/>
    <x v="0"/>
    <x v="1"/>
  </r>
  <r>
    <s v="IND-2023-1415"/>
    <x v="161"/>
    <s v="CUS-1018"/>
    <s v="Divya Pillai"/>
    <s v="Delhi"/>
    <x v="3"/>
    <x v="2"/>
    <x v="19"/>
    <x v="4"/>
    <n v="3222"/>
    <n v="2"/>
    <n v="511.5"/>
    <x v="0"/>
    <x v="1"/>
  </r>
  <r>
    <s v="IND-2023-1416"/>
    <x v="245"/>
    <s v="CUS-1006"/>
    <s v="Sneha Mukherjee"/>
    <s v="Kolkata"/>
    <x v="13"/>
    <x v="1"/>
    <x v="17"/>
    <x v="0"/>
    <n v="95997.6"/>
    <n v="3"/>
    <n v="-3599.55"/>
    <x v="3"/>
    <x v="1"/>
  </r>
  <r>
    <s v="IND-2023-1417"/>
    <x v="36"/>
    <s v="CUS-1002"/>
    <s v="Priya Patel"/>
    <s v="Mumbai"/>
    <x v="5"/>
    <x v="3"/>
    <x v="1"/>
    <x v="1"/>
    <n v="3396"/>
    <n v="4"/>
    <n v="840"/>
    <x v="0"/>
    <x v="2"/>
  </r>
  <r>
    <s v="IND-2023-1418"/>
    <x v="38"/>
    <s v="CUS-1002"/>
    <s v="Priya Patel"/>
    <s v="Lucknow"/>
    <x v="10"/>
    <x v="2"/>
    <x v="30"/>
    <x v="2"/>
    <n v="649"/>
    <n v="1"/>
    <n v="220"/>
    <x v="0"/>
    <x v="1"/>
  </r>
  <r>
    <s v="IND-2023-1419"/>
    <x v="15"/>
    <s v="CUS-1001"/>
    <s v="Aarav Sharma"/>
    <s v="Bengaluru"/>
    <x v="0"/>
    <x v="0"/>
    <x v="9"/>
    <x v="0"/>
    <n v="6836.2"/>
    <n v="4"/>
    <n v="1250.1500000000001"/>
    <x v="0"/>
    <x v="1"/>
  </r>
  <r>
    <s v="IND-2023-1420"/>
    <x v="8"/>
    <s v="CUS-1009"/>
    <s v="Rajesh Kumar"/>
    <s v="Bengaluru"/>
    <x v="0"/>
    <x v="0"/>
    <x v="11"/>
    <x v="0"/>
    <n v="2157.3000000000002"/>
    <n v="3"/>
    <n v="570.23"/>
    <x v="2"/>
    <x v="1"/>
  </r>
  <r>
    <s v="IND-2023-1421"/>
    <x v="246"/>
    <s v="CUS-1014"/>
    <s v="Sunita Das"/>
    <s v="Bhubaneswar"/>
    <x v="7"/>
    <x v="1"/>
    <x v="5"/>
    <x v="3"/>
    <n v="897.75"/>
    <n v="1"/>
    <n v="174.56"/>
    <x v="1"/>
    <x v="1"/>
  </r>
  <r>
    <s v="IND-2023-1422"/>
    <x v="247"/>
    <s v="CUS-1020"/>
    <s v="Shweta Tiwari"/>
    <s v="Delhi"/>
    <x v="3"/>
    <x v="2"/>
    <x v="16"/>
    <x v="4"/>
    <n v="2299"/>
    <n v="1"/>
    <n v="-180"/>
    <x v="3"/>
    <x v="1"/>
  </r>
  <r>
    <s v="IND-2023-1423"/>
    <x v="109"/>
    <s v="CUS-1001"/>
    <s v="Aarav Sharma"/>
    <s v="Bhubaneswar"/>
    <x v="7"/>
    <x v="1"/>
    <x v="3"/>
    <x v="0"/>
    <n v="1039.2"/>
    <n v="1"/>
    <n v="125.15"/>
    <x v="3"/>
    <x v="1"/>
  </r>
  <r>
    <s v="IND-2023-1424"/>
    <x v="248"/>
    <s v="CUS-1023"/>
    <s v="Gaurav Bansal"/>
    <s v="Bhubaneswar"/>
    <x v="7"/>
    <x v="1"/>
    <x v="11"/>
    <x v="0"/>
    <n v="2277.15"/>
    <n v="3"/>
    <n v="660.11"/>
    <x v="4"/>
    <x v="2"/>
  </r>
  <r>
    <s v="IND-2023-1425"/>
    <x v="222"/>
    <s v="CUS-1023"/>
    <s v="Gaurav Bansal"/>
    <s v="Jaipur"/>
    <x v="12"/>
    <x v="2"/>
    <x v="15"/>
    <x v="4"/>
    <n v="2158.1999999999998"/>
    <n v="2"/>
    <n v="400.15"/>
    <x v="0"/>
    <x v="1"/>
  </r>
  <r>
    <s v="IND-2023-1426"/>
    <x v="135"/>
    <s v="CUS-1013"/>
    <s v="Amit Mishra"/>
    <s v="Chandigarh"/>
    <x v="4"/>
    <x v="2"/>
    <x v="11"/>
    <x v="0"/>
    <n v="3196"/>
    <n v="4"/>
    <n v="1000"/>
    <x v="1"/>
    <x v="1"/>
  </r>
  <r>
    <s v="IND-2023-1427"/>
    <x v="231"/>
    <s v="CUS-1019"/>
    <s v="Manish Agarwal"/>
    <s v="Bengaluru"/>
    <x v="0"/>
    <x v="0"/>
    <x v="27"/>
    <x v="3"/>
    <n v="1480"/>
    <n v="1"/>
    <n v="62.5"/>
    <x v="1"/>
    <x v="1"/>
  </r>
  <r>
    <s v="IND-2023-1428"/>
    <x v="249"/>
    <s v="CUS-1024"/>
    <s v="Meera Nambiar"/>
    <s v="Bhubaneswar"/>
    <x v="7"/>
    <x v="1"/>
    <x v="29"/>
    <x v="3"/>
    <n v="25996"/>
    <n v="4"/>
    <n v="3800"/>
    <x v="0"/>
    <x v="1"/>
  </r>
  <r>
    <s v="IND-2023-1429"/>
    <x v="250"/>
    <s v="CUS-1012"/>
    <s v="Kavita Rao"/>
    <s v="Hyderabad"/>
    <x v="8"/>
    <x v="0"/>
    <x v="16"/>
    <x v="4"/>
    <n v="4138.2"/>
    <n v="2"/>
    <n v="-704.85"/>
    <x v="1"/>
    <x v="1"/>
  </r>
  <r>
    <s v="IND-2023-1430"/>
    <x v="251"/>
    <s v="CUS-1020"/>
    <s v="Shweta Tiwari"/>
    <s v="Chandigarh"/>
    <x v="4"/>
    <x v="2"/>
    <x v="31"/>
    <x v="0"/>
    <n v="87996"/>
    <n v="4"/>
    <n v="9600"/>
    <x v="0"/>
    <x v="1"/>
  </r>
  <r>
    <s v="IND-2023-1431"/>
    <x v="194"/>
    <s v="CUS-1002"/>
    <s v="Priya Patel"/>
    <s v="Chandigarh"/>
    <x v="4"/>
    <x v="2"/>
    <x v="20"/>
    <x v="3"/>
    <n v="7677.6"/>
    <n v="3"/>
    <n v="210.45"/>
    <x v="0"/>
    <x v="1"/>
  </r>
  <r>
    <s v="IND-2023-1432"/>
    <x v="188"/>
    <s v="CUS-1010"/>
    <s v="Neha Singh"/>
    <s v="Lucknow"/>
    <x v="10"/>
    <x v="2"/>
    <x v="9"/>
    <x v="0"/>
    <n v="1709.05"/>
    <n v="1"/>
    <n v="312.54000000000002"/>
    <x v="1"/>
    <x v="1"/>
  </r>
  <r>
    <s v="IND-2023-1433"/>
    <x v="86"/>
    <s v="CUS-1016"/>
    <s v="Ritu Mehta"/>
    <s v="Delhi"/>
    <x v="3"/>
    <x v="2"/>
    <x v="31"/>
    <x v="0"/>
    <n v="70396.800000000003"/>
    <n v="4"/>
    <n v="-3599.4"/>
    <x v="1"/>
    <x v="1"/>
  </r>
  <r>
    <s v="IND-2023-1434"/>
    <x v="7"/>
    <s v="CUS-1015"/>
    <s v="Karan Kapoor"/>
    <s v="Pune"/>
    <x v="5"/>
    <x v="3"/>
    <x v="12"/>
    <x v="3"/>
    <n v="9999.2000000000007"/>
    <n v="1"/>
    <n v="-3324.85"/>
    <x v="4"/>
    <x v="1"/>
  </r>
  <r>
    <s v="IND-2023-1435"/>
    <x v="137"/>
    <s v="CUS-1003"/>
    <s v="Rahul Verma"/>
    <s v="Patna"/>
    <x v="1"/>
    <x v="1"/>
    <x v="7"/>
    <x v="1"/>
    <n v="124768"/>
    <n v="4"/>
    <n v="-6994"/>
    <x v="1"/>
    <x v="1"/>
  </r>
  <r>
    <s v="IND-2023-1436"/>
    <x v="223"/>
    <s v="CUS-1008"/>
    <s v="Pooja Nair"/>
    <s v="Kolkata"/>
    <x v="13"/>
    <x v="1"/>
    <x v="4"/>
    <x v="1"/>
    <n v="25647.15"/>
    <n v="3"/>
    <n v="2587.61"/>
    <x v="4"/>
    <x v="1"/>
  </r>
  <r>
    <s v="IND-2023-1437"/>
    <x v="4"/>
    <s v="CUS-1020"/>
    <s v="Shweta Tiwari"/>
    <s v="Bengaluru"/>
    <x v="0"/>
    <x v="0"/>
    <x v="5"/>
    <x v="3"/>
    <n v="1890"/>
    <n v="2"/>
    <n v="420"/>
    <x v="0"/>
    <x v="4"/>
  </r>
  <r>
    <s v="IND-2023-1438"/>
    <x v="51"/>
    <s v="CUS-1022"/>
    <s v="Tanvi Deshmukh"/>
    <s v="Delhi"/>
    <x v="3"/>
    <x v="2"/>
    <x v="8"/>
    <x v="1"/>
    <n v="151164"/>
    <n v="4"/>
    <n v="5403"/>
    <x v="4"/>
    <x v="1"/>
  </r>
  <r>
    <s v="IND-2023-1439"/>
    <x v="116"/>
    <s v="CUS-1020"/>
    <s v="Shweta Tiwari"/>
    <s v="Delhi"/>
    <x v="3"/>
    <x v="2"/>
    <x v="14"/>
    <x v="3"/>
    <n v="764.15"/>
    <n v="1"/>
    <n v="-221.14"/>
    <x v="0"/>
    <x v="1"/>
  </r>
  <r>
    <s v="IND-2023-1440"/>
    <x v="125"/>
    <s v="CUS-1004"/>
    <s v="Ananya Iyer"/>
    <s v="Bhubaneswar"/>
    <x v="7"/>
    <x v="1"/>
    <x v="23"/>
    <x v="2"/>
    <n v="4047.3"/>
    <n v="3"/>
    <n v="742.72"/>
    <x v="0"/>
    <x v="1"/>
  </r>
  <r>
    <s v="IND-2023-1441"/>
    <x v="193"/>
    <s v="CUS-1020"/>
    <s v="Shweta Tiwari"/>
    <s v="Lucknow"/>
    <x v="10"/>
    <x v="2"/>
    <x v="13"/>
    <x v="1"/>
    <n v="156721.5"/>
    <n v="3"/>
    <n v="11213.62"/>
    <x v="0"/>
    <x v="1"/>
  </r>
  <r>
    <s v="IND-2023-1442"/>
    <x v="252"/>
    <s v="CUS-1001"/>
    <s v="Aarav Sharma"/>
    <s v="Pune"/>
    <x v="5"/>
    <x v="3"/>
    <x v="4"/>
    <x v="1"/>
    <n v="8549.0499999999993"/>
    <n v="1"/>
    <n v="862.54"/>
    <x v="0"/>
    <x v="2"/>
  </r>
  <r>
    <s v="IND-2023-1443"/>
    <x v="149"/>
    <s v="CUS-1004"/>
    <s v="Ananya Iyer"/>
    <s v="Delhi"/>
    <x v="3"/>
    <x v="2"/>
    <x v="29"/>
    <x v="3"/>
    <n v="6174.05"/>
    <n v="1"/>
    <n v="-926.11"/>
    <x v="3"/>
    <x v="3"/>
  </r>
  <r>
    <s v="IND-2023-1444"/>
    <x v="174"/>
    <s v="CUS-1023"/>
    <s v="Gaurav Bansal"/>
    <s v="Hyderabad"/>
    <x v="8"/>
    <x v="0"/>
    <x v="2"/>
    <x v="2"/>
    <n v="1347.3"/>
    <n v="3"/>
    <n v="367.73"/>
    <x v="0"/>
    <x v="4"/>
  </r>
  <r>
    <s v="IND-2023-1445"/>
    <x v="245"/>
    <s v="CUS-1023"/>
    <s v="Gaurav Bansal"/>
    <s v="Pune"/>
    <x v="5"/>
    <x v="3"/>
    <x v="5"/>
    <x v="3"/>
    <n v="1795.5"/>
    <n v="2"/>
    <n v="349.12"/>
    <x v="3"/>
    <x v="1"/>
  </r>
  <r>
    <s v="IND-2023-1446"/>
    <x v="26"/>
    <s v="CUS-1010"/>
    <s v="Neha Singh"/>
    <s v="Delhi"/>
    <x v="3"/>
    <x v="2"/>
    <x v="7"/>
    <x v="1"/>
    <n v="31192"/>
    <n v="1"/>
    <n v="-1748.5"/>
    <x v="3"/>
    <x v="1"/>
  </r>
  <r>
    <s v="IND-2023-1447"/>
    <x v="73"/>
    <s v="CUS-1020"/>
    <s v="Shweta Tiwari"/>
    <s v="Chandigarh"/>
    <x v="4"/>
    <x v="2"/>
    <x v="27"/>
    <x v="3"/>
    <n v="7030"/>
    <n v="4"/>
    <n v="1082.5"/>
    <x v="3"/>
    <x v="2"/>
  </r>
  <r>
    <s v="IND-2023-1448"/>
    <x v="56"/>
    <s v="CUS-1004"/>
    <s v="Ananya Iyer"/>
    <s v="Bhubaneswar"/>
    <x v="7"/>
    <x v="1"/>
    <x v="11"/>
    <x v="0"/>
    <n v="2556.8000000000002"/>
    <n v="4"/>
    <n v="520.6"/>
    <x v="0"/>
    <x v="1"/>
  </r>
  <r>
    <s v="IND-2023-1449"/>
    <x v="23"/>
    <s v="CUS-1019"/>
    <s v="Manish Agarwal"/>
    <s v="Chandigarh"/>
    <x v="4"/>
    <x v="2"/>
    <x v="19"/>
    <x v="4"/>
    <n v="4833"/>
    <n v="3"/>
    <n v="767.25"/>
    <x v="0"/>
    <x v="1"/>
  </r>
  <r>
    <s v="IND-2023-1450"/>
    <x v="132"/>
    <s v="CUS-1016"/>
    <s v="Ritu Mehta"/>
    <s v="Hyderabad"/>
    <x v="8"/>
    <x v="0"/>
    <x v="22"/>
    <x v="4"/>
    <n v="1230.25"/>
    <n v="1"/>
    <n v="-184.54"/>
    <x v="4"/>
    <x v="3"/>
  </r>
  <r>
    <s v="IND-2023-1451"/>
    <x v="253"/>
    <s v="CUS-1001"/>
    <s v="Aarav Sharma"/>
    <s v="Hyderabad"/>
    <x v="8"/>
    <x v="0"/>
    <x v="16"/>
    <x v="4"/>
    <n v="6897"/>
    <n v="3"/>
    <n v="-540"/>
    <x v="0"/>
    <x v="1"/>
  </r>
  <r>
    <s v="IND-2023-1452"/>
    <x v="161"/>
    <s v="CUS-1014"/>
    <s v="Sunita Das"/>
    <s v="Jaipur"/>
    <x v="12"/>
    <x v="2"/>
    <x v="14"/>
    <x v="3"/>
    <n v="809.1"/>
    <n v="1"/>
    <n v="-187.43"/>
    <x v="3"/>
    <x v="1"/>
  </r>
  <r>
    <s v="IND-2023-1453"/>
    <x v="123"/>
    <s v="CUS-1022"/>
    <s v="Tanvi Deshmukh"/>
    <s v="Hyderabad"/>
    <x v="8"/>
    <x v="0"/>
    <x v="3"/>
    <x v="0"/>
    <n v="2468.1"/>
    <n v="2"/>
    <n v="542.58000000000004"/>
    <x v="0"/>
    <x v="1"/>
  </r>
  <r>
    <s v="IND-2023-1454"/>
    <x v="48"/>
    <s v="CUS-1012"/>
    <s v="Kavita Rao"/>
    <s v="Bhubaneswar"/>
    <x v="7"/>
    <x v="1"/>
    <x v="2"/>
    <x v="2"/>
    <n v="1347.3"/>
    <n v="3"/>
    <n v="367.73"/>
    <x v="2"/>
    <x v="1"/>
  </r>
  <r>
    <s v="IND-2023-1455"/>
    <x v="206"/>
    <s v="CUS-1012"/>
    <s v="Kavita Rao"/>
    <s v="Indore"/>
    <x v="11"/>
    <x v="3"/>
    <x v="28"/>
    <x v="0"/>
    <n v="61749.05"/>
    <n v="1"/>
    <n v="4762.54"/>
    <x v="1"/>
    <x v="1"/>
  </r>
  <r>
    <s v="IND-2023-1456"/>
    <x v="104"/>
    <s v="CUS-1019"/>
    <s v="Manish Agarwal"/>
    <s v="Kolkata"/>
    <x v="13"/>
    <x v="1"/>
    <x v="2"/>
    <x v="2"/>
    <n v="499"/>
    <n v="1"/>
    <n v="160"/>
    <x v="0"/>
    <x v="1"/>
  </r>
  <r>
    <s v="IND-2023-1457"/>
    <x v="131"/>
    <s v="CUS-1013"/>
    <s v="Amit Mishra"/>
    <s v="Lucknow"/>
    <x v="10"/>
    <x v="2"/>
    <x v="31"/>
    <x v="0"/>
    <n v="39598.199999999997"/>
    <n v="2"/>
    <n v="1500.15"/>
    <x v="3"/>
    <x v="4"/>
  </r>
  <r>
    <s v="IND-2023-1458"/>
    <x v="231"/>
    <s v="CUS-1007"/>
    <s v="Vikram Malhotra"/>
    <s v="Jaipur"/>
    <x v="12"/>
    <x v="2"/>
    <x v="19"/>
    <x v="4"/>
    <n v="3580"/>
    <n v="2"/>
    <n v="780"/>
    <x v="0"/>
    <x v="1"/>
  </r>
  <r>
    <s v="IND-2023-1459"/>
    <x v="101"/>
    <s v="CUS-1008"/>
    <s v="Pooja Nair"/>
    <s v="Mumbai"/>
    <x v="5"/>
    <x v="3"/>
    <x v="28"/>
    <x v="0"/>
    <n v="185247.15"/>
    <n v="3"/>
    <n v="14287.61"/>
    <x v="1"/>
    <x v="2"/>
  </r>
  <r>
    <s v="IND-2023-1460"/>
    <x v="134"/>
    <s v="CUS-1008"/>
    <s v="Pooja Nair"/>
    <s v="Bhubaneswar"/>
    <x v="7"/>
    <x v="1"/>
    <x v="14"/>
    <x v="3"/>
    <n v="1438.4"/>
    <n v="2"/>
    <n v="-509.7"/>
    <x v="3"/>
    <x v="4"/>
  </r>
  <r>
    <s v="IND-2023-1461"/>
    <x v="227"/>
    <s v="CUS-1013"/>
    <s v="Amit Mishra"/>
    <s v="Bhubaneswar"/>
    <x v="7"/>
    <x v="1"/>
    <x v="30"/>
    <x v="2"/>
    <n v="1654.95"/>
    <n v="3"/>
    <n v="440.96"/>
    <x v="3"/>
    <x v="1"/>
  </r>
  <r>
    <s v="IND-2023-1462"/>
    <x v="76"/>
    <s v="CUS-1004"/>
    <s v="Ananya Iyer"/>
    <s v="Pune"/>
    <x v="5"/>
    <x v="3"/>
    <x v="3"/>
    <x v="0"/>
    <n v="3897"/>
    <n v="3"/>
    <n v="-584.54999999999995"/>
    <x v="0"/>
    <x v="3"/>
  </r>
  <r>
    <s v="IND-2023-1463"/>
    <x v="254"/>
    <s v="CUS-1015"/>
    <s v="Karan Kapoor"/>
    <s v="Delhi"/>
    <x v="3"/>
    <x v="2"/>
    <x v="24"/>
    <x v="3"/>
    <n v="8598"/>
    <n v="2"/>
    <n v="1440"/>
    <x v="0"/>
    <x v="1"/>
  </r>
  <r>
    <s v="IND-2023-1464"/>
    <x v="89"/>
    <s v="CUS-1012"/>
    <s v="Kavita Rao"/>
    <s v="Lucknow"/>
    <x v="10"/>
    <x v="2"/>
    <x v="13"/>
    <x v="1"/>
    <n v="54990"/>
    <n v="1"/>
    <n v="5800"/>
    <x v="3"/>
    <x v="1"/>
  </r>
  <r>
    <s v="IND-2023-1465"/>
    <x v="210"/>
    <s v="CUS-1001"/>
    <s v="Aarav Sharma"/>
    <s v="Hyderabad"/>
    <x v="8"/>
    <x v="0"/>
    <x v="3"/>
    <x v="0"/>
    <n v="2208.3000000000002"/>
    <n v="2"/>
    <n v="347.73"/>
    <x v="0"/>
    <x v="1"/>
  </r>
  <r>
    <s v="IND-2023-1466"/>
    <x v="167"/>
    <s v="CUS-1024"/>
    <s v="Meera Nambiar"/>
    <s v="Indore"/>
    <x v="11"/>
    <x v="3"/>
    <x v="21"/>
    <x v="4"/>
    <n v="1899.05"/>
    <n v="1"/>
    <n v="445.04"/>
    <x v="1"/>
    <x v="1"/>
  </r>
  <r>
    <s v="IND-2023-1467"/>
    <x v="255"/>
    <s v="CUS-1014"/>
    <s v="Sunita Das"/>
    <s v="Ahmedabad"/>
    <x v="6"/>
    <x v="3"/>
    <x v="16"/>
    <x v="4"/>
    <n v="1954.15"/>
    <n v="1"/>
    <n v="-438.64"/>
    <x v="2"/>
    <x v="4"/>
  </r>
  <r>
    <s v="IND-2023-1468"/>
    <x v="76"/>
    <s v="CUS-1004"/>
    <s v="Ananya Iyer"/>
    <s v="Pune"/>
    <x v="5"/>
    <x v="3"/>
    <x v="5"/>
    <x v="3"/>
    <n v="1890"/>
    <n v="2"/>
    <n v="420"/>
    <x v="1"/>
    <x v="1"/>
  </r>
  <r>
    <s v="IND-2023-1469"/>
    <x v="108"/>
    <s v="CUS-1009"/>
    <s v="Rajesh Kumar"/>
    <s v="Patna"/>
    <x v="1"/>
    <x v="1"/>
    <x v="26"/>
    <x v="2"/>
    <n v="2100"/>
    <n v="4"/>
    <n v="700"/>
    <x v="1"/>
    <x v="1"/>
  </r>
  <r>
    <s v="IND-2023-1470"/>
    <x v="256"/>
    <s v="CUS-1013"/>
    <s v="Amit Mishra"/>
    <s v="Chandigarh"/>
    <x v="4"/>
    <x v="2"/>
    <x v="12"/>
    <x v="3"/>
    <n v="24998"/>
    <n v="2"/>
    <n v="-2900"/>
    <x v="0"/>
    <x v="1"/>
  </r>
  <r>
    <s v="IND-2023-1471"/>
    <x v="186"/>
    <s v="CUS-1024"/>
    <s v="Meera Nambiar"/>
    <s v="Indore"/>
    <x v="11"/>
    <x v="3"/>
    <x v="6"/>
    <x v="2"/>
    <n v="741"/>
    <n v="1"/>
    <n v="210.75"/>
    <x v="3"/>
    <x v="1"/>
  </r>
  <r>
    <s v="IND-2023-1472"/>
    <x v="169"/>
    <s v="CUS-1023"/>
    <s v="Gaurav Bansal"/>
    <s v="Hyderabad"/>
    <x v="8"/>
    <x v="0"/>
    <x v="17"/>
    <x v="0"/>
    <n v="159996"/>
    <n v="4"/>
    <n v="-23999.4"/>
    <x v="3"/>
    <x v="3"/>
  </r>
  <r>
    <s v="IND-2023-1473"/>
    <x v="66"/>
    <s v="CUS-1019"/>
    <s v="Manish Agarwal"/>
    <s v="Jaipur"/>
    <x v="12"/>
    <x v="2"/>
    <x v="24"/>
    <x v="3"/>
    <n v="4084.05"/>
    <n v="1"/>
    <n v="558.79"/>
    <x v="0"/>
    <x v="1"/>
  </r>
  <r>
    <s v="IND-2023-1474"/>
    <x v="113"/>
    <s v="CUS-1015"/>
    <s v="Karan Kapoor"/>
    <s v="Kolkata"/>
    <x v="13"/>
    <x v="1"/>
    <x v="14"/>
    <x v="3"/>
    <n v="2697"/>
    <n v="3"/>
    <n v="-360"/>
    <x v="0"/>
    <x v="1"/>
  </r>
  <r>
    <s v="IND-2023-1475"/>
    <x v="46"/>
    <s v="CUS-1006"/>
    <s v="Sneha Mukherjee"/>
    <s v="Kolkata"/>
    <x v="13"/>
    <x v="1"/>
    <x v="22"/>
    <x v="4"/>
    <n v="4921"/>
    <n v="4"/>
    <n v="1045.75"/>
    <x v="3"/>
    <x v="4"/>
  </r>
  <r>
    <s v="IND-2023-1476"/>
    <x v="7"/>
    <s v="CUS-1015"/>
    <s v="Karan Kapoor"/>
    <s v="Delhi"/>
    <x v="3"/>
    <x v="2"/>
    <x v="13"/>
    <x v="1"/>
    <n v="164970"/>
    <n v="3"/>
    <n v="17400"/>
    <x v="0"/>
    <x v="1"/>
  </r>
  <r>
    <s v="IND-2023-1477"/>
    <x v="93"/>
    <s v="CUS-1018"/>
    <s v="Divya Pillai"/>
    <s v="Jaipur"/>
    <x v="12"/>
    <x v="2"/>
    <x v="1"/>
    <x v="1"/>
    <n v="806.55"/>
    <n v="1"/>
    <n v="178.16"/>
    <x v="0"/>
    <x v="2"/>
  </r>
  <r>
    <s v="IND-2023-1478"/>
    <x v="79"/>
    <s v="CUS-1004"/>
    <s v="Ananya Iyer"/>
    <s v="Ahmedabad"/>
    <x v="6"/>
    <x v="3"/>
    <x v="27"/>
    <x v="3"/>
    <n v="5550"/>
    <n v="3"/>
    <n v="1020"/>
    <x v="2"/>
    <x v="1"/>
  </r>
  <r>
    <s v="IND-2023-1479"/>
    <x v="257"/>
    <s v="CUS-1005"/>
    <s v="Rohan Gupta"/>
    <s v="Indore"/>
    <x v="11"/>
    <x v="3"/>
    <x v="13"/>
    <x v="1"/>
    <n v="54990"/>
    <n v="1"/>
    <n v="5800"/>
    <x v="1"/>
    <x v="1"/>
  </r>
  <r>
    <s v="IND-2023-1480"/>
    <x v="210"/>
    <s v="CUS-1018"/>
    <s v="Divya Pillai"/>
    <s v="Jaipur"/>
    <x v="12"/>
    <x v="2"/>
    <x v="29"/>
    <x v="3"/>
    <n v="17547.3"/>
    <n v="3"/>
    <n v="1387.72"/>
    <x v="0"/>
    <x v="1"/>
  </r>
  <r>
    <s v="IND-2023-1481"/>
    <x v="258"/>
    <s v="CUS-1025"/>
    <s v="Siddharth Sen"/>
    <s v="Pune"/>
    <x v="5"/>
    <x v="3"/>
    <x v="3"/>
    <x v="0"/>
    <n v="2078.4"/>
    <n v="2"/>
    <n v="250.3"/>
    <x v="0"/>
    <x v="4"/>
  </r>
  <r>
    <s v="IND-2023-1482"/>
    <x v="255"/>
    <s v="CUS-1014"/>
    <s v="Sunita Das"/>
    <s v="Bengaluru"/>
    <x v="0"/>
    <x v="0"/>
    <x v="24"/>
    <x v="3"/>
    <n v="15476.4"/>
    <n v="4"/>
    <n v="1590.3"/>
    <x v="0"/>
    <x v="1"/>
  </r>
  <r>
    <s v="IND-2023-1483"/>
    <x v="132"/>
    <s v="CUS-1008"/>
    <s v="Pooja Nair"/>
    <s v="Lucknow"/>
    <x v="10"/>
    <x v="2"/>
    <x v="31"/>
    <x v="0"/>
    <n v="43998"/>
    <n v="2"/>
    <n v="-6599.7"/>
    <x v="1"/>
    <x v="3"/>
  </r>
  <r>
    <s v="IND-2023-1484"/>
    <x v="91"/>
    <s v="CUS-1025"/>
    <s v="Siddharth Sen"/>
    <s v="Ahmedabad"/>
    <x v="6"/>
    <x v="3"/>
    <x v="1"/>
    <x v="1"/>
    <n v="2547"/>
    <n v="3"/>
    <n v="630"/>
    <x v="4"/>
    <x v="1"/>
  </r>
  <r>
    <s v="IND-2023-1485"/>
    <x v="96"/>
    <s v="CUS-1002"/>
    <s v="Priya Patel"/>
    <s v="Mumbai"/>
    <x v="5"/>
    <x v="3"/>
    <x v="17"/>
    <x v="0"/>
    <n v="159996"/>
    <n v="4"/>
    <n v="19200"/>
    <x v="1"/>
    <x v="1"/>
  </r>
  <r>
    <s v="IND-2023-1486"/>
    <x v="123"/>
    <s v="CUS-1024"/>
    <s v="Meera Nambiar"/>
    <s v="Bengaluru"/>
    <x v="0"/>
    <x v="0"/>
    <x v="14"/>
    <x v="3"/>
    <n v="899"/>
    <n v="1"/>
    <n v="-120"/>
    <x v="0"/>
    <x v="1"/>
  </r>
  <r>
    <s v="IND-2023-1487"/>
    <x v="240"/>
    <s v="CUS-1013"/>
    <s v="Amit Mishra"/>
    <s v="Bhubaneswar"/>
    <x v="7"/>
    <x v="1"/>
    <x v="18"/>
    <x v="1"/>
    <n v="2541.5"/>
    <n v="2"/>
    <n v="363.62"/>
    <x v="3"/>
    <x v="1"/>
  </r>
  <r>
    <s v="IND-2023-1488"/>
    <x v="118"/>
    <s v="CUS-1019"/>
    <s v="Manish Agarwal"/>
    <s v="Lucknow"/>
    <x v="10"/>
    <x v="2"/>
    <x v="8"/>
    <x v="1"/>
    <n v="33592"/>
    <n v="1"/>
    <n v="-5038.8"/>
    <x v="3"/>
    <x v="3"/>
  </r>
  <r>
    <s v="IND-2023-1489"/>
    <x v="12"/>
    <s v="CUS-1004"/>
    <s v="Ananya Iyer"/>
    <s v="Indore"/>
    <x v="11"/>
    <x v="3"/>
    <x v="24"/>
    <x v="3"/>
    <n v="17196"/>
    <n v="4"/>
    <n v="2880"/>
    <x v="2"/>
    <x v="1"/>
  </r>
  <r>
    <s v="IND-2023-1490"/>
    <x v="259"/>
    <s v="CUS-1017"/>
    <s v="Deepak Chopra"/>
    <s v="Kolkata"/>
    <x v="13"/>
    <x v="1"/>
    <x v="14"/>
    <x v="3"/>
    <n v="2562.15"/>
    <n v="3"/>
    <n v="-461.14"/>
    <x v="3"/>
    <x v="1"/>
  </r>
  <r>
    <s v="IND-2023-1491"/>
    <x v="50"/>
    <s v="CUS-1004"/>
    <s v="Ananya Iyer"/>
    <s v="Jaipur"/>
    <x v="12"/>
    <x v="2"/>
    <x v="18"/>
    <x v="1"/>
    <n v="4784"/>
    <n v="4"/>
    <n v="503"/>
    <x v="4"/>
    <x v="1"/>
  </r>
  <r>
    <s v="IND-2023-1492"/>
    <x v="18"/>
    <s v="CUS-1010"/>
    <s v="Neha Singh"/>
    <s v="Ahmedabad"/>
    <x v="6"/>
    <x v="3"/>
    <x v="30"/>
    <x v="2"/>
    <n v="1947"/>
    <n v="3"/>
    <n v="660"/>
    <x v="3"/>
    <x v="1"/>
  </r>
  <r>
    <s v="IND-2023-1493"/>
    <x v="1"/>
    <s v="CUS-1021"/>
    <s v="Arjun Reddy"/>
    <s v="Bengaluru"/>
    <x v="0"/>
    <x v="0"/>
    <x v="18"/>
    <x v="1"/>
    <n v="1270.75"/>
    <n v="1"/>
    <n v="181.81"/>
    <x v="4"/>
    <x v="1"/>
  </r>
  <r>
    <s v="IND-2023-1494"/>
    <x v="96"/>
    <s v="CUS-1015"/>
    <s v="Karan Kapoor"/>
    <s v="Bengaluru"/>
    <x v="0"/>
    <x v="0"/>
    <x v="20"/>
    <x v="3"/>
    <n v="12796"/>
    <n v="4"/>
    <n v="2200"/>
    <x v="3"/>
    <x v="1"/>
  </r>
  <r>
    <s v="IND-2023-1495"/>
    <x v="77"/>
    <s v="CUS-1007"/>
    <s v="Vikram Malhotra"/>
    <s v="Kolkata"/>
    <x v="13"/>
    <x v="1"/>
    <x v="7"/>
    <x v="1"/>
    <n v="99424.5"/>
    <n v="3"/>
    <n v="-859.12"/>
    <x v="1"/>
    <x v="4"/>
  </r>
  <r>
    <s v="IND-2023-1496"/>
    <x v="260"/>
    <s v="CUS-1003"/>
    <s v="Rahul Verma"/>
    <s v="Ahmedabad"/>
    <x v="6"/>
    <x v="3"/>
    <x v="5"/>
    <x v="3"/>
    <n v="803.25"/>
    <n v="1"/>
    <n v="-120.49"/>
    <x v="1"/>
    <x v="3"/>
  </r>
  <r>
    <s v="IND-2023-1497"/>
    <x v="137"/>
    <s v="CUS-1007"/>
    <s v="Vikram Malhotra"/>
    <s v="Jaipur"/>
    <x v="12"/>
    <x v="2"/>
    <x v="8"/>
    <x v="1"/>
    <n v="113373"/>
    <n v="3"/>
    <n v="4052.25"/>
    <x v="4"/>
    <x v="1"/>
  </r>
  <r>
    <s v="IND-2023-1498"/>
    <x v="147"/>
    <s v="CUS-1010"/>
    <s v="Neha Singh"/>
    <s v="Patna"/>
    <x v="1"/>
    <x v="1"/>
    <x v="11"/>
    <x v="0"/>
    <n v="2397"/>
    <n v="3"/>
    <n v="750"/>
    <x v="0"/>
    <x v="1"/>
  </r>
  <r>
    <s v="IND-2023-1499"/>
    <x v="72"/>
    <s v="CUS-1022"/>
    <s v="Tanvi Deshmukh"/>
    <s v="Ahmedabad"/>
    <x v="6"/>
    <x v="3"/>
    <x v="9"/>
    <x v="0"/>
    <n v="5397"/>
    <n v="3"/>
    <n v="0"/>
    <x v="3"/>
    <x v="0"/>
  </r>
  <r>
    <s v="IND-2023-1500"/>
    <x v="69"/>
    <s v="CUS-1017"/>
    <s v="Deepak Chopra"/>
    <s v="Bhubaneswar"/>
    <x v="7"/>
    <x v="1"/>
    <x v="3"/>
    <x v="0"/>
    <n v="1039.2"/>
    <n v="1"/>
    <n v="125.15"/>
    <x v="4"/>
    <x v="4"/>
  </r>
  <r>
    <s v="IND-2023-1501"/>
    <x v="261"/>
    <s v="CUS-1016"/>
    <s v="Ritu Mehta"/>
    <s v="Bengaluru"/>
    <x v="0"/>
    <x v="0"/>
    <x v="23"/>
    <x v="2"/>
    <n v="2998"/>
    <n v="2"/>
    <n v="720"/>
    <x v="3"/>
    <x v="1"/>
  </r>
  <r>
    <s v="IND-2023-1502"/>
    <x v="262"/>
    <s v="CUS-1010"/>
    <s v="Neha Singh"/>
    <s v="Bengaluru"/>
    <x v="0"/>
    <x v="0"/>
    <x v="10"/>
    <x v="4"/>
    <n v="6747.3"/>
    <n v="3"/>
    <n v="0"/>
    <x v="0"/>
    <x v="0"/>
  </r>
  <r>
    <s v="IND-2023-1503"/>
    <x v="50"/>
    <s v="CUS-1024"/>
    <s v="Meera Nambiar"/>
    <s v="Ahmedabad"/>
    <x v="6"/>
    <x v="3"/>
    <x v="22"/>
    <x v="4"/>
    <n v="2072"/>
    <n v="2"/>
    <n v="0"/>
    <x v="4"/>
    <x v="0"/>
  </r>
  <r>
    <s v="IND-2023-1504"/>
    <x v="160"/>
    <s v="CUS-1007"/>
    <s v="Vikram Malhotra"/>
    <s v="Ahmedabad"/>
    <x v="6"/>
    <x v="3"/>
    <x v="23"/>
    <x v="2"/>
    <n v="4497"/>
    <n v="3"/>
    <n v="1080"/>
    <x v="3"/>
    <x v="1"/>
  </r>
  <r>
    <s v="IND-2023-1505"/>
    <x v="263"/>
    <s v="CUS-1014"/>
    <s v="Sunita Das"/>
    <s v="Patna"/>
    <x v="1"/>
    <x v="1"/>
    <x v="28"/>
    <x v="0"/>
    <n v="194997"/>
    <n v="3"/>
    <n v="21600"/>
    <x v="0"/>
    <x v="1"/>
  </r>
  <r>
    <s v="IND-2023-1506"/>
    <x v="264"/>
    <s v="CUS-1006"/>
    <s v="Sneha Mukherjee"/>
    <s v="Indore"/>
    <x v="11"/>
    <x v="3"/>
    <x v="19"/>
    <x v="4"/>
    <n v="3043"/>
    <n v="2"/>
    <n v="377.25"/>
    <x v="0"/>
    <x v="1"/>
  </r>
  <r>
    <s v="IND-2023-1507"/>
    <x v="265"/>
    <s v="CUS-1021"/>
    <s v="Arjun Reddy"/>
    <s v="Patna"/>
    <x v="1"/>
    <x v="1"/>
    <x v="27"/>
    <x v="3"/>
    <n v="4717.5"/>
    <n v="3"/>
    <n v="395.62"/>
    <x v="1"/>
    <x v="1"/>
  </r>
  <r>
    <s v="IND-2023-1508"/>
    <x v="140"/>
    <s v="CUS-1013"/>
    <s v="Amit Mishra"/>
    <s v="Delhi"/>
    <x v="3"/>
    <x v="2"/>
    <x v="10"/>
    <x v="4"/>
    <n v="4498.2"/>
    <n v="2"/>
    <n v="925.15"/>
    <x v="0"/>
    <x v="1"/>
  </r>
  <r>
    <s v="IND-2023-1509"/>
    <x v="266"/>
    <s v="CUS-1006"/>
    <s v="Sneha Mukherjee"/>
    <s v="Ahmedabad"/>
    <x v="6"/>
    <x v="3"/>
    <x v="13"/>
    <x v="1"/>
    <n v="87984"/>
    <n v="2"/>
    <n v="-4897"/>
    <x v="0"/>
    <x v="1"/>
  </r>
  <r>
    <s v="IND-2023-1510"/>
    <x v="182"/>
    <s v="CUS-1009"/>
    <s v="Rajesh Kumar"/>
    <s v="Patna"/>
    <x v="1"/>
    <x v="1"/>
    <x v="1"/>
    <x v="1"/>
    <n v="764.1"/>
    <n v="1"/>
    <n v="0"/>
    <x v="0"/>
    <x v="0"/>
  </r>
  <r>
    <s v="IND-2023-1511"/>
    <x v="165"/>
    <s v="CUS-1008"/>
    <s v="Pooja Nair"/>
    <s v="Indore"/>
    <x v="11"/>
    <x v="3"/>
    <x v="21"/>
    <x v="4"/>
    <n v="7996"/>
    <n v="4"/>
    <n v="2080"/>
    <x v="1"/>
    <x v="4"/>
  </r>
  <r>
    <s v="IND-2023-1512"/>
    <x v="176"/>
    <s v="CUS-1011"/>
    <s v="Aditya Joshi"/>
    <s v="Hyderabad"/>
    <x v="8"/>
    <x v="0"/>
    <x v="1"/>
    <x v="1"/>
    <n v="1528.2"/>
    <n v="2"/>
    <n v="292.64999999999998"/>
    <x v="3"/>
    <x v="1"/>
  </r>
  <r>
    <s v="IND-2023-1513"/>
    <x v="267"/>
    <s v="CUS-1005"/>
    <s v="Rohan Gupta"/>
    <s v="Hyderabad"/>
    <x v="8"/>
    <x v="0"/>
    <x v="2"/>
    <x v="2"/>
    <n v="1422.15"/>
    <n v="3"/>
    <n v="423.86"/>
    <x v="3"/>
    <x v="1"/>
  </r>
  <r>
    <s v="IND-2023-1514"/>
    <x v="141"/>
    <s v="CUS-1012"/>
    <s v="Kavita Rao"/>
    <s v="Delhi"/>
    <x v="3"/>
    <x v="2"/>
    <x v="22"/>
    <x v="4"/>
    <n v="2201.5"/>
    <n v="2"/>
    <n v="328.62"/>
    <x v="1"/>
    <x v="1"/>
  </r>
  <r>
    <s v="IND-2023-1515"/>
    <x v="29"/>
    <s v="CUS-1009"/>
    <s v="Rajesh Kumar"/>
    <s v="Bengaluru"/>
    <x v="0"/>
    <x v="0"/>
    <x v="21"/>
    <x v="4"/>
    <n v="3398.3"/>
    <n v="2"/>
    <n v="590.23"/>
    <x v="0"/>
    <x v="1"/>
  </r>
  <r>
    <s v="IND-2023-1516"/>
    <x v="91"/>
    <s v="CUS-1002"/>
    <s v="Priya Patel"/>
    <s v="Lucknow"/>
    <x v="10"/>
    <x v="2"/>
    <x v="9"/>
    <x v="0"/>
    <n v="6476.4"/>
    <n v="4"/>
    <n v="980.3"/>
    <x v="0"/>
    <x v="1"/>
  </r>
  <r>
    <s v="IND-2023-1517"/>
    <x v="268"/>
    <s v="CUS-1021"/>
    <s v="Arjun Reddy"/>
    <s v="Bengaluru"/>
    <x v="0"/>
    <x v="0"/>
    <x v="2"/>
    <x v="2"/>
    <n v="1796.4"/>
    <n v="4"/>
    <n v="490.3"/>
    <x v="4"/>
    <x v="1"/>
  </r>
  <r>
    <s v="IND-2023-1518"/>
    <x v="18"/>
    <s v="CUS-1010"/>
    <s v="Neha Singh"/>
    <s v="Lucknow"/>
    <x v="10"/>
    <x v="2"/>
    <x v="6"/>
    <x v="2"/>
    <n v="663"/>
    <n v="1"/>
    <n v="152.25"/>
    <x v="0"/>
    <x v="4"/>
  </r>
  <r>
    <s v="IND-2023-1519"/>
    <x v="269"/>
    <s v="CUS-1013"/>
    <s v="Amit Mishra"/>
    <s v="Hyderabad"/>
    <x v="8"/>
    <x v="0"/>
    <x v="22"/>
    <x v="4"/>
    <n v="2331"/>
    <n v="2"/>
    <n v="425.75"/>
    <x v="0"/>
    <x v="1"/>
  </r>
  <r>
    <s v="IND-2023-1520"/>
    <x v="92"/>
    <s v="CUS-1013"/>
    <s v="Amit Mishra"/>
    <s v="Bhubaneswar"/>
    <x v="7"/>
    <x v="1"/>
    <x v="25"/>
    <x v="4"/>
    <n v="3597.6"/>
    <n v="3"/>
    <n v="465.45"/>
    <x v="0"/>
    <x v="1"/>
  </r>
  <r>
    <s v="IND-2023-1521"/>
    <x v="30"/>
    <s v="CUS-1019"/>
    <s v="Manish Agarwal"/>
    <s v="Kochi"/>
    <x v="9"/>
    <x v="0"/>
    <x v="24"/>
    <x v="3"/>
    <n v="11607.3"/>
    <n v="3"/>
    <n v="1192.72"/>
    <x v="0"/>
    <x v="1"/>
  </r>
  <r>
    <s v="IND-2023-1522"/>
    <x v="117"/>
    <s v="CUS-1001"/>
    <s v="Aarav Sharma"/>
    <s v="Bhubaneswar"/>
    <x v="7"/>
    <x v="1"/>
    <x v="31"/>
    <x v="0"/>
    <n v="19799.099999999999"/>
    <n v="1"/>
    <n v="750.07"/>
    <x v="0"/>
    <x v="1"/>
  </r>
  <r>
    <s v="IND-2023-1523"/>
    <x v="270"/>
    <s v="CUS-1005"/>
    <s v="Rohan Gupta"/>
    <s v="Hyderabad"/>
    <x v="8"/>
    <x v="0"/>
    <x v="15"/>
    <x v="4"/>
    <n v="3836.8"/>
    <n v="4"/>
    <n v="440.6"/>
    <x v="0"/>
    <x v="1"/>
  </r>
  <r>
    <s v="IND-2023-1524"/>
    <x v="121"/>
    <s v="CUS-1005"/>
    <s v="Rohan Gupta"/>
    <s v="Hyderabad"/>
    <x v="8"/>
    <x v="0"/>
    <x v="17"/>
    <x v="0"/>
    <n v="39999"/>
    <n v="1"/>
    <n v="4800"/>
    <x v="1"/>
    <x v="4"/>
  </r>
  <r>
    <s v="IND-2023-1525"/>
    <x v="271"/>
    <s v="CUS-1008"/>
    <s v="Pooja Nair"/>
    <s v="Bhubaneswar"/>
    <x v="7"/>
    <x v="1"/>
    <x v="17"/>
    <x v="0"/>
    <n v="39999"/>
    <n v="1"/>
    <n v="4800"/>
    <x v="0"/>
    <x v="1"/>
  </r>
  <r>
    <s v="IND-2023-1526"/>
    <x v="199"/>
    <s v="CUS-1016"/>
    <s v="Ritu Mehta"/>
    <s v="Patna"/>
    <x v="1"/>
    <x v="1"/>
    <x v="19"/>
    <x v="4"/>
    <n v="3222"/>
    <n v="2"/>
    <n v="511.5"/>
    <x v="2"/>
    <x v="1"/>
  </r>
  <r>
    <s v="IND-2023-1527"/>
    <x v="41"/>
    <s v="CUS-1010"/>
    <s v="Neha Singh"/>
    <s v="Ahmedabad"/>
    <x v="6"/>
    <x v="3"/>
    <x v="26"/>
    <x v="2"/>
    <n v="525"/>
    <n v="1"/>
    <n v="-78.75"/>
    <x v="1"/>
    <x v="3"/>
  </r>
  <r>
    <s v="IND-2023-1528"/>
    <x v="197"/>
    <s v="CUS-1013"/>
    <s v="Amit Mishra"/>
    <s v="Ahmedabad"/>
    <x v="6"/>
    <x v="3"/>
    <x v="12"/>
    <x v="3"/>
    <n v="49996"/>
    <n v="4"/>
    <n v="-5800"/>
    <x v="0"/>
    <x v="1"/>
  </r>
  <r>
    <s v="IND-2023-1529"/>
    <x v="254"/>
    <s v="CUS-1013"/>
    <s v="Amit Mishra"/>
    <s v="Bengaluru"/>
    <x v="0"/>
    <x v="0"/>
    <x v="10"/>
    <x v="4"/>
    <n v="2249.1"/>
    <n v="1"/>
    <n v="462.57"/>
    <x v="1"/>
    <x v="1"/>
  </r>
  <r>
    <s v="IND-2023-1530"/>
    <x v="272"/>
    <s v="CUS-1019"/>
    <s v="Manish Agarwal"/>
    <s v="Kochi"/>
    <x v="9"/>
    <x v="0"/>
    <x v="10"/>
    <x v="4"/>
    <n v="3998.4"/>
    <n v="2"/>
    <n v="550.29999999999995"/>
    <x v="4"/>
    <x v="1"/>
  </r>
  <r>
    <s v="IND-2023-1531"/>
    <x v="68"/>
    <s v="CUS-1017"/>
    <s v="Deepak Chopra"/>
    <s v="Patna"/>
    <x v="1"/>
    <x v="1"/>
    <x v="4"/>
    <x v="1"/>
    <n v="30596.6"/>
    <n v="4"/>
    <n v="750.45"/>
    <x v="0"/>
    <x v="1"/>
  </r>
  <r>
    <s v="IND-2023-1532"/>
    <x v="140"/>
    <s v="CUS-1002"/>
    <s v="Priya Patel"/>
    <s v="Hyderabad"/>
    <x v="8"/>
    <x v="0"/>
    <x v="5"/>
    <x v="3"/>
    <n v="1890"/>
    <n v="2"/>
    <n v="420"/>
    <x v="0"/>
    <x v="1"/>
  </r>
  <r>
    <s v="IND-2023-1533"/>
    <x v="115"/>
    <s v="CUS-1011"/>
    <s v="Aditya Joshi"/>
    <s v="Indore"/>
    <x v="11"/>
    <x v="3"/>
    <x v="28"/>
    <x v="0"/>
    <n v="129998"/>
    <n v="2"/>
    <n v="14400"/>
    <x v="0"/>
    <x v="1"/>
  </r>
  <r>
    <s v="IND-2023-1534"/>
    <x v="209"/>
    <s v="CUS-1025"/>
    <s v="Siddharth Sen"/>
    <s v="Bengaluru"/>
    <x v="0"/>
    <x v="0"/>
    <x v="31"/>
    <x v="0"/>
    <n v="37398.300000000003"/>
    <n v="2"/>
    <n v="-149.77000000000001"/>
    <x v="0"/>
    <x v="4"/>
  </r>
  <r>
    <s v="IND-2023-1535"/>
    <x v="32"/>
    <s v="CUS-1005"/>
    <s v="Rohan Gupta"/>
    <s v="Patna"/>
    <x v="1"/>
    <x v="1"/>
    <x v="29"/>
    <x v="3"/>
    <n v="17547.3"/>
    <n v="3"/>
    <n v="1387.72"/>
    <x v="0"/>
    <x v="1"/>
  </r>
  <r>
    <s v="IND-2023-1536"/>
    <x v="186"/>
    <s v="CUS-1022"/>
    <s v="Tanvi Deshmukh"/>
    <s v="Ahmedabad"/>
    <x v="6"/>
    <x v="3"/>
    <x v="3"/>
    <x v="0"/>
    <n v="2598"/>
    <n v="2"/>
    <n v="640"/>
    <x v="1"/>
    <x v="1"/>
  </r>
  <r>
    <s v="IND-2023-1537"/>
    <x v="157"/>
    <s v="CUS-1004"/>
    <s v="Ananya Iyer"/>
    <s v="Delhi"/>
    <x v="3"/>
    <x v="2"/>
    <x v="19"/>
    <x v="4"/>
    <n v="1790"/>
    <n v="1"/>
    <n v="390"/>
    <x v="4"/>
    <x v="1"/>
  </r>
  <r>
    <s v="IND-2023-1538"/>
    <x v="251"/>
    <s v="CUS-1018"/>
    <s v="Divya Pillai"/>
    <s v="Ahmedabad"/>
    <x v="6"/>
    <x v="3"/>
    <x v="9"/>
    <x v="0"/>
    <n v="5756.8"/>
    <n v="4"/>
    <n v="440.6"/>
    <x v="2"/>
    <x v="1"/>
  </r>
  <r>
    <s v="IND-2023-1539"/>
    <x v="273"/>
    <s v="CUS-1004"/>
    <s v="Ananya Iyer"/>
    <s v="Chennai"/>
    <x v="2"/>
    <x v="0"/>
    <x v="17"/>
    <x v="0"/>
    <n v="79998"/>
    <n v="2"/>
    <n v="0"/>
    <x v="3"/>
    <x v="0"/>
  </r>
  <r>
    <s v="IND-2023-1540"/>
    <x v="211"/>
    <s v="CUS-1025"/>
    <s v="Siddharth Sen"/>
    <s v="Mumbai"/>
    <x v="5"/>
    <x v="3"/>
    <x v="20"/>
    <x v="3"/>
    <n v="6078.1"/>
    <n v="2"/>
    <n v="860.08"/>
    <x v="1"/>
    <x v="4"/>
  </r>
  <r>
    <s v="IND-2023-1541"/>
    <x v="124"/>
    <s v="CUS-1016"/>
    <s v="Ritu Mehta"/>
    <s v="Kolkata"/>
    <x v="13"/>
    <x v="1"/>
    <x v="18"/>
    <x v="1"/>
    <n v="5980"/>
    <n v="4"/>
    <n v="1400"/>
    <x v="1"/>
    <x v="1"/>
  </r>
  <r>
    <s v="IND-2023-1542"/>
    <x v="159"/>
    <s v="CUS-1003"/>
    <s v="Rahul Verma"/>
    <s v="Bhubaneswar"/>
    <x v="7"/>
    <x v="1"/>
    <x v="3"/>
    <x v="0"/>
    <n v="1104.1500000000001"/>
    <n v="1"/>
    <n v="173.86"/>
    <x v="3"/>
    <x v="1"/>
  </r>
  <r>
    <s v="IND-2023-1543"/>
    <x v="216"/>
    <s v="CUS-1023"/>
    <s v="Gaurav Bansal"/>
    <s v="Patna"/>
    <x v="1"/>
    <x v="1"/>
    <x v="30"/>
    <x v="2"/>
    <n v="649"/>
    <n v="1"/>
    <n v="220"/>
    <x v="3"/>
    <x v="1"/>
  </r>
  <r>
    <s v="IND-2023-1544"/>
    <x v="141"/>
    <s v="CUS-1005"/>
    <s v="Rohan Gupta"/>
    <s v="Kolkata"/>
    <x v="13"/>
    <x v="1"/>
    <x v="0"/>
    <x v="0"/>
    <n v="4796"/>
    <n v="4"/>
    <n v="1040"/>
    <x v="0"/>
    <x v="1"/>
  </r>
  <r>
    <s v="IND-2023-1545"/>
    <x v="14"/>
    <s v="CUS-1024"/>
    <s v="Meera Nambiar"/>
    <s v="Pune"/>
    <x v="5"/>
    <x v="3"/>
    <x v="3"/>
    <x v="0"/>
    <n v="1299"/>
    <n v="1"/>
    <n v="320"/>
    <x v="0"/>
    <x v="1"/>
  </r>
  <r>
    <s v="IND-2023-1546"/>
    <x v="274"/>
    <s v="CUS-1009"/>
    <s v="Rajesh Kumar"/>
    <s v="Kolkata"/>
    <x v="13"/>
    <x v="1"/>
    <x v="28"/>
    <x v="0"/>
    <n v="259996"/>
    <n v="4"/>
    <n v="28800"/>
    <x v="3"/>
    <x v="1"/>
  </r>
  <r>
    <s v="IND-2023-1547"/>
    <x v="23"/>
    <s v="CUS-1017"/>
    <s v="Deepak Chopra"/>
    <s v="Kochi"/>
    <x v="9"/>
    <x v="0"/>
    <x v="30"/>
    <x v="2"/>
    <n v="2076.8000000000002"/>
    <n v="4"/>
    <n v="490.6"/>
    <x v="0"/>
    <x v="1"/>
  </r>
  <r>
    <s v="IND-2023-1548"/>
    <x v="90"/>
    <s v="CUS-1015"/>
    <s v="Karan Kapoor"/>
    <s v="Indore"/>
    <x v="11"/>
    <x v="3"/>
    <x v="22"/>
    <x v="4"/>
    <n v="5180"/>
    <n v="4"/>
    <n v="1240"/>
    <x v="2"/>
    <x v="1"/>
  </r>
  <r>
    <s v="IND-2023-1549"/>
    <x v="198"/>
    <s v="CUS-1005"/>
    <s v="Rohan Gupta"/>
    <s v="Patna"/>
    <x v="1"/>
    <x v="1"/>
    <x v="17"/>
    <x v="0"/>
    <n v="67998.3"/>
    <n v="2"/>
    <n v="600.23"/>
    <x v="0"/>
    <x v="1"/>
  </r>
  <r>
    <s v="IND-2023-1550"/>
    <x v="47"/>
    <s v="CUS-1013"/>
    <s v="Amit Mishra"/>
    <s v="Kolkata"/>
    <x v="13"/>
    <x v="1"/>
    <x v="16"/>
    <x v="4"/>
    <n v="2184.0500000000002"/>
    <n v="1"/>
    <n v="-266.20999999999998"/>
    <x v="1"/>
    <x v="1"/>
  </r>
  <r>
    <s v="IND-2023-1551"/>
    <x v="269"/>
    <s v="CUS-1008"/>
    <s v="Pooja Nair"/>
    <s v="Kolkata"/>
    <x v="13"/>
    <x v="1"/>
    <x v="5"/>
    <x v="3"/>
    <n v="2693.25"/>
    <n v="3"/>
    <n v="523.69000000000005"/>
    <x v="0"/>
    <x v="1"/>
  </r>
  <r>
    <s v="IND-2023-1552"/>
    <x v="159"/>
    <s v="CUS-1024"/>
    <s v="Meera Nambiar"/>
    <s v="Bengaluru"/>
    <x v="0"/>
    <x v="0"/>
    <x v="2"/>
    <x v="2"/>
    <n v="499"/>
    <n v="1"/>
    <n v="160"/>
    <x v="1"/>
    <x v="1"/>
  </r>
  <r>
    <s v="IND-2023-1553"/>
    <x v="223"/>
    <s v="CUS-1016"/>
    <s v="Ritu Mehta"/>
    <s v="Patna"/>
    <x v="1"/>
    <x v="1"/>
    <x v="17"/>
    <x v="0"/>
    <n v="79998"/>
    <n v="2"/>
    <n v="9600"/>
    <x v="3"/>
    <x v="1"/>
  </r>
  <r>
    <s v="IND-2023-1554"/>
    <x v="275"/>
    <s v="CUS-1014"/>
    <s v="Sunita Das"/>
    <s v="Jaipur"/>
    <x v="12"/>
    <x v="2"/>
    <x v="26"/>
    <x v="2"/>
    <n v="840"/>
    <n v="2"/>
    <n v="192.5"/>
    <x v="0"/>
    <x v="1"/>
  </r>
  <r>
    <s v="IND-2023-1555"/>
    <x v="14"/>
    <s v="CUS-1018"/>
    <s v="Divya Pillai"/>
    <s v="Patna"/>
    <x v="1"/>
    <x v="1"/>
    <x v="30"/>
    <x v="2"/>
    <n v="1038.4000000000001"/>
    <n v="2"/>
    <n v="245.3"/>
    <x v="2"/>
    <x v="1"/>
  </r>
  <r>
    <s v="IND-2023-1556"/>
    <x v="249"/>
    <s v="CUS-1020"/>
    <s v="Shweta Tiwari"/>
    <s v="Bhubaneswar"/>
    <x v="7"/>
    <x v="1"/>
    <x v="18"/>
    <x v="1"/>
    <n v="1270.75"/>
    <n v="1"/>
    <n v="181.81"/>
    <x v="3"/>
    <x v="2"/>
  </r>
  <r>
    <s v="IND-2023-1557"/>
    <x v="276"/>
    <s v="CUS-1016"/>
    <s v="Ritu Mehta"/>
    <s v="Lucknow"/>
    <x v="10"/>
    <x v="2"/>
    <x v="6"/>
    <x v="2"/>
    <n v="2652"/>
    <n v="4"/>
    <n v="0"/>
    <x v="2"/>
    <x v="0"/>
  </r>
  <r>
    <s v="IND-2023-1558"/>
    <x v="277"/>
    <s v="CUS-1015"/>
    <s v="Karan Kapoor"/>
    <s v="Pune"/>
    <x v="5"/>
    <x v="3"/>
    <x v="18"/>
    <x v="1"/>
    <n v="1495"/>
    <n v="1"/>
    <n v="350"/>
    <x v="4"/>
    <x v="1"/>
  </r>
  <r>
    <s v="IND-2023-1559"/>
    <x v="165"/>
    <s v="CUS-1011"/>
    <s v="Aditya Joshi"/>
    <s v="Bengaluru"/>
    <x v="0"/>
    <x v="0"/>
    <x v="24"/>
    <x v="3"/>
    <n v="12252.15"/>
    <n v="3"/>
    <n v="1676.36"/>
    <x v="0"/>
    <x v="1"/>
  </r>
  <r>
    <s v="IND-2023-1560"/>
    <x v="278"/>
    <s v="CUS-1016"/>
    <s v="Ritu Mehta"/>
    <s v="Lucknow"/>
    <x v="10"/>
    <x v="2"/>
    <x v="26"/>
    <x v="2"/>
    <n v="472.5"/>
    <n v="1"/>
    <n v="135.62"/>
    <x v="0"/>
    <x v="1"/>
  </r>
  <r>
    <s v="IND-2023-1561"/>
    <x v="89"/>
    <s v="CUS-1017"/>
    <s v="Deepak Chopra"/>
    <s v="Ahmedabad"/>
    <x v="6"/>
    <x v="3"/>
    <x v="2"/>
    <x v="2"/>
    <n v="798.4"/>
    <n v="2"/>
    <n v="170.3"/>
    <x v="1"/>
    <x v="1"/>
  </r>
  <r>
    <s v="IND-2023-1562"/>
    <x v="279"/>
    <s v="CUS-1021"/>
    <s v="Arjun Reddy"/>
    <s v="Pune"/>
    <x v="5"/>
    <x v="3"/>
    <x v="16"/>
    <x v="4"/>
    <n v="5862.45"/>
    <n v="3"/>
    <n v="-1315.91"/>
    <x v="3"/>
    <x v="2"/>
  </r>
  <r>
    <s v="IND-2023-1563"/>
    <x v="183"/>
    <s v="CUS-1011"/>
    <s v="Aditya Joshi"/>
    <s v="Pune"/>
    <x v="5"/>
    <x v="3"/>
    <x v="25"/>
    <x v="4"/>
    <n v="3597.6"/>
    <n v="3"/>
    <n v="465.45"/>
    <x v="3"/>
    <x v="4"/>
  </r>
  <r>
    <s v="IND-2023-1564"/>
    <x v="204"/>
    <s v="CUS-1025"/>
    <s v="Siddharth Sen"/>
    <s v="Kolkata"/>
    <x v="13"/>
    <x v="1"/>
    <x v="4"/>
    <x v="1"/>
    <n v="28796.799999999999"/>
    <n v="4"/>
    <n v="-599.4"/>
    <x v="3"/>
    <x v="1"/>
  </r>
  <r>
    <s v="IND-2023-1565"/>
    <x v="253"/>
    <s v="CUS-1005"/>
    <s v="Rohan Gupta"/>
    <s v="Jaipur"/>
    <x v="12"/>
    <x v="2"/>
    <x v="27"/>
    <x v="3"/>
    <n v="6660"/>
    <n v="4"/>
    <n v="805"/>
    <x v="0"/>
    <x v="1"/>
  </r>
  <r>
    <s v="IND-2023-1566"/>
    <x v="280"/>
    <s v="CUS-1006"/>
    <s v="Sneha Mukherjee"/>
    <s v="Bengaluru"/>
    <x v="0"/>
    <x v="0"/>
    <x v="27"/>
    <x v="3"/>
    <n v="4717.5"/>
    <n v="3"/>
    <n v="395.62"/>
    <x v="2"/>
    <x v="1"/>
  </r>
  <r>
    <s v="IND-2023-1567"/>
    <x v="281"/>
    <s v="CUS-1013"/>
    <s v="Amit Mishra"/>
    <s v="Bengaluru"/>
    <x v="0"/>
    <x v="0"/>
    <x v="29"/>
    <x v="3"/>
    <n v="5849.1"/>
    <n v="1"/>
    <n v="462.57"/>
    <x v="0"/>
    <x v="4"/>
  </r>
  <r>
    <s v="IND-2023-1568"/>
    <x v="194"/>
    <s v="CUS-1021"/>
    <s v="Arjun Reddy"/>
    <s v="Kochi"/>
    <x v="9"/>
    <x v="0"/>
    <x v="1"/>
    <x v="1"/>
    <n v="2547"/>
    <n v="3"/>
    <n v="630"/>
    <x v="0"/>
    <x v="1"/>
  </r>
  <r>
    <s v="IND-2023-1569"/>
    <x v="282"/>
    <s v="CUS-1001"/>
    <s v="Aarav Sharma"/>
    <s v="Mumbai"/>
    <x v="5"/>
    <x v="3"/>
    <x v="13"/>
    <x v="1"/>
    <n v="54990"/>
    <n v="1"/>
    <n v="5800"/>
    <x v="0"/>
    <x v="1"/>
  </r>
  <r>
    <s v="IND-2023-1570"/>
    <x v="283"/>
    <s v="CUS-1014"/>
    <s v="Sunita Das"/>
    <s v="Ahmedabad"/>
    <x v="6"/>
    <x v="3"/>
    <x v="26"/>
    <x v="2"/>
    <n v="1050"/>
    <n v="2"/>
    <n v="350"/>
    <x v="0"/>
    <x v="1"/>
  </r>
  <r>
    <s v="IND-2023-1571"/>
    <x v="192"/>
    <s v="CUS-1022"/>
    <s v="Tanvi Deshmukh"/>
    <s v="Indore"/>
    <x v="11"/>
    <x v="3"/>
    <x v="20"/>
    <x v="3"/>
    <n v="7677.6"/>
    <n v="3"/>
    <n v="210.45"/>
    <x v="3"/>
    <x v="1"/>
  </r>
  <r>
    <s v="IND-2023-1572"/>
    <x v="284"/>
    <s v="CUS-1011"/>
    <s v="Aditya Joshi"/>
    <s v="Hyderabad"/>
    <x v="8"/>
    <x v="0"/>
    <x v="27"/>
    <x v="3"/>
    <n v="1572.5"/>
    <n v="1"/>
    <n v="131.88"/>
    <x v="0"/>
    <x v="1"/>
  </r>
  <r>
    <s v="IND-2023-1573"/>
    <x v="88"/>
    <s v="CUS-1004"/>
    <s v="Ananya Iyer"/>
    <s v="Lucknow"/>
    <x v="10"/>
    <x v="2"/>
    <x v="18"/>
    <x v="1"/>
    <n v="1196"/>
    <n v="1"/>
    <n v="-179.4"/>
    <x v="0"/>
    <x v="3"/>
  </r>
  <r>
    <s v="IND-2023-1574"/>
    <x v="25"/>
    <s v="CUS-1024"/>
    <s v="Meera Nambiar"/>
    <s v="Indore"/>
    <x v="11"/>
    <x v="3"/>
    <x v="29"/>
    <x v="3"/>
    <n v="6499"/>
    <n v="1"/>
    <n v="950"/>
    <x v="0"/>
    <x v="1"/>
  </r>
  <r>
    <s v="IND-2023-1575"/>
    <x v="142"/>
    <s v="CUS-1021"/>
    <s v="Arjun Reddy"/>
    <s v="Delhi"/>
    <x v="3"/>
    <x v="2"/>
    <x v="15"/>
    <x v="4"/>
    <n v="1139.05"/>
    <n v="1"/>
    <n v="245.04"/>
    <x v="1"/>
    <x v="2"/>
  </r>
  <r>
    <s v="IND-2023-1576"/>
    <x v="285"/>
    <s v="CUS-1015"/>
    <s v="Karan Kapoor"/>
    <s v="Chandigarh"/>
    <x v="4"/>
    <x v="2"/>
    <x v="0"/>
    <x v="0"/>
    <n v="4796"/>
    <n v="4"/>
    <n v="1040"/>
    <x v="0"/>
    <x v="1"/>
  </r>
  <r>
    <s v="IND-2023-1577"/>
    <x v="33"/>
    <s v="CUS-1008"/>
    <s v="Pooja Nair"/>
    <s v="Lucknow"/>
    <x v="10"/>
    <x v="2"/>
    <x v="8"/>
    <x v="1"/>
    <n v="71383"/>
    <n v="2"/>
    <n v="-447.75"/>
    <x v="3"/>
    <x v="4"/>
  </r>
  <r>
    <s v="IND-2023-1578"/>
    <x v="15"/>
    <s v="CUS-1003"/>
    <s v="Rahul Verma"/>
    <s v="Mumbai"/>
    <x v="5"/>
    <x v="3"/>
    <x v="8"/>
    <x v="1"/>
    <n v="79781"/>
    <n v="2"/>
    <n v="-11967.15"/>
    <x v="0"/>
    <x v="3"/>
  </r>
  <r>
    <s v="IND-2023-1579"/>
    <x v="31"/>
    <s v="CUS-1019"/>
    <s v="Manish Agarwal"/>
    <s v="Patna"/>
    <x v="1"/>
    <x v="1"/>
    <x v="29"/>
    <x v="3"/>
    <n v="23396.400000000001"/>
    <n v="4"/>
    <n v="1850.3"/>
    <x v="1"/>
    <x v="1"/>
  </r>
  <r>
    <s v="IND-2023-1580"/>
    <x v="57"/>
    <s v="CUS-1024"/>
    <s v="Meera Nambiar"/>
    <s v="Ahmedabad"/>
    <x v="6"/>
    <x v="3"/>
    <x v="16"/>
    <x v="4"/>
    <n v="7816.6"/>
    <n v="4"/>
    <n v="-1754.55"/>
    <x v="0"/>
    <x v="1"/>
  </r>
  <r>
    <s v="IND-2023-1581"/>
    <x v="286"/>
    <s v="CUS-1009"/>
    <s v="Rajesh Kumar"/>
    <s v="Delhi"/>
    <x v="3"/>
    <x v="2"/>
    <x v="29"/>
    <x v="3"/>
    <n v="17547.3"/>
    <n v="3"/>
    <n v="1387.72"/>
    <x v="3"/>
    <x v="1"/>
  </r>
  <r>
    <s v="IND-2023-1582"/>
    <x v="56"/>
    <s v="CUS-1019"/>
    <s v="Manish Agarwal"/>
    <s v="Delhi"/>
    <x v="3"/>
    <x v="2"/>
    <x v="20"/>
    <x v="3"/>
    <n v="8637.2999999999993"/>
    <n v="3"/>
    <n v="930.22"/>
    <x v="1"/>
    <x v="4"/>
  </r>
  <r>
    <s v="IND-2023-1583"/>
    <x v="287"/>
    <s v="CUS-1016"/>
    <s v="Ritu Mehta"/>
    <s v="Lucknow"/>
    <x v="10"/>
    <x v="2"/>
    <x v="5"/>
    <x v="3"/>
    <n v="2835"/>
    <n v="3"/>
    <n v="630"/>
    <x v="0"/>
    <x v="1"/>
  </r>
  <r>
    <s v="IND-2023-1584"/>
    <x v="288"/>
    <s v="CUS-1024"/>
    <s v="Meera Nambiar"/>
    <s v="Mumbai"/>
    <x v="5"/>
    <x v="3"/>
    <x v="26"/>
    <x v="2"/>
    <n v="1496.25"/>
    <n v="3"/>
    <n v="465.94"/>
    <x v="4"/>
    <x v="1"/>
  </r>
  <r>
    <s v="IND-2023-1585"/>
    <x v="152"/>
    <s v="CUS-1018"/>
    <s v="Divya Pillai"/>
    <s v="Jaipur"/>
    <x v="12"/>
    <x v="2"/>
    <x v="11"/>
    <x v="0"/>
    <n v="2277.15"/>
    <n v="3"/>
    <n v="660.11"/>
    <x v="0"/>
    <x v="1"/>
  </r>
  <r>
    <s v="IND-2023-1586"/>
    <x v="143"/>
    <s v="CUS-1009"/>
    <s v="Rajesh Kumar"/>
    <s v="Delhi"/>
    <x v="3"/>
    <x v="2"/>
    <x v="31"/>
    <x v="0"/>
    <n v="70396.800000000003"/>
    <n v="4"/>
    <n v="-3599.4"/>
    <x v="1"/>
    <x v="1"/>
  </r>
  <r>
    <s v="IND-2023-1587"/>
    <x v="277"/>
    <s v="CUS-1012"/>
    <s v="Kavita Rao"/>
    <s v="Chandigarh"/>
    <x v="4"/>
    <x v="2"/>
    <x v="31"/>
    <x v="0"/>
    <n v="56097.45"/>
    <n v="3"/>
    <n v="-224.66"/>
    <x v="3"/>
    <x v="1"/>
  </r>
  <r>
    <s v="IND-2023-1588"/>
    <x v="289"/>
    <s v="CUS-1023"/>
    <s v="Gaurav Bansal"/>
    <s v="Kochi"/>
    <x v="9"/>
    <x v="0"/>
    <x v="3"/>
    <x v="0"/>
    <n v="2468.1"/>
    <n v="2"/>
    <n v="542.58000000000004"/>
    <x v="0"/>
    <x v="1"/>
  </r>
  <r>
    <s v="IND-2023-1589"/>
    <x v="243"/>
    <s v="CUS-1019"/>
    <s v="Manish Agarwal"/>
    <s v="Patna"/>
    <x v="1"/>
    <x v="1"/>
    <x v="23"/>
    <x v="2"/>
    <n v="2998"/>
    <n v="2"/>
    <n v="720"/>
    <x v="0"/>
    <x v="1"/>
  </r>
  <r>
    <s v="IND-2023-1590"/>
    <x v="87"/>
    <s v="CUS-1010"/>
    <s v="Neha Singh"/>
    <s v="Pune"/>
    <x v="5"/>
    <x v="3"/>
    <x v="8"/>
    <x v="1"/>
    <n v="37791"/>
    <n v="1"/>
    <n v="1350.75"/>
    <x v="1"/>
    <x v="1"/>
  </r>
  <r>
    <s v="IND-2023-1591"/>
    <x v="188"/>
    <s v="CUS-1019"/>
    <s v="Manish Agarwal"/>
    <s v="Bhubaneswar"/>
    <x v="7"/>
    <x v="1"/>
    <x v="17"/>
    <x v="0"/>
    <n v="35999.1"/>
    <n v="1"/>
    <n v="1800.07"/>
    <x v="0"/>
    <x v="1"/>
  </r>
  <r>
    <s v="IND-2023-1592"/>
    <x v="3"/>
    <s v="CUS-1018"/>
    <s v="Divya Pillai"/>
    <s v="Mumbai"/>
    <x v="5"/>
    <x v="3"/>
    <x v="25"/>
    <x v="4"/>
    <n v="5996"/>
    <n v="4"/>
    <n v="1520"/>
    <x v="3"/>
    <x v="1"/>
  </r>
  <r>
    <s v="IND-2023-1593"/>
    <x v="290"/>
    <s v="CUS-1006"/>
    <s v="Sneha Mukherjee"/>
    <s v="Hyderabad"/>
    <x v="8"/>
    <x v="0"/>
    <x v="9"/>
    <x v="0"/>
    <n v="1529.15"/>
    <n v="1"/>
    <n v="177.61"/>
    <x v="1"/>
    <x v="1"/>
  </r>
  <r>
    <s v="IND-2023-1594"/>
    <x v="287"/>
    <s v="CUS-1016"/>
    <s v="Ritu Mehta"/>
    <s v="Hyderabad"/>
    <x v="8"/>
    <x v="0"/>
    <x v="25"/>
    <x v="4"/>
    <n v="5096.6000000000004"/>
    <n v="4"/>
    <n v="845.45"/>
    <x v="0"/>
    <x v="1"/>
  </r>
  <r>
    <s v="IND-2023-1595"/>
    <x v="116"/>
    <s v="CUS-1009"/>
    <s v="Rajesh Kumar"/>
    <s v="Hyderabad"/>
    <x v="8"/>
    <x v="0"/>
    <x v="23"/>
    <x v="2"/>
    <n v="3597.6"/>
    <n v="3"/>
    <n v="405.45"/>
    <x v="1"/>
    <x v="1"/>
  </r>
  <r>
    <s v="IND-2023-1596"/>
    <x v="291"/>
    <s v="CUS-1005"/>
    <s v="Rohan Gupta"/>
    <s v="Bengaluru"/>
    <x v="0"/>
    <x v="0"/>
    <x v="3"/>
    <x v="0"/>
    <n v="3897"/>
    <n v="3"/>
    <n v="960"/>
    <x v="0"/>
    <x v="1"/>
  </r>
  <r>
    <s v="IND-2023-1597"/>
    <x v="292"/>
    <s v="CUS-1018"/>
    <s v="Divya Pillai"/>
    <s v="Chennai"/>
    <x v="2"/>
    <x v="0"/>
    <x v="21"/>
    <x v="4"/>
    <n v="5097.45"/>
    <n v="3"/>
    <n v="885.34"/>
    <x v="3"/>
    <x v="1"/>
  </r>
  <r>
    <s v="IND-2023-1598"/>
    <x v="153"/>
    <s v="CUS-1024"/>
    <s v="Meera Nambiar"/>
    <s v="Lucknow"/>
    <x v="10"/>
    <x v="2"/>
    <x v="20"/>
    <x v="3"/>
    <n v="12796"/>
    <n v="4"/>
    <n v="2200"/>
    <x v="0"/>
    <x v="1"/>
  </r>
  <r>
    <s v="IND-2023-1599"/>
    <x v="87"/>
    <s v="CUS-1015"/>
    <s v="Karan Kapoor"/>
    <s v="Delhi"/>
    <x v="3"/>
    <x v="2"/>
    <x v="4"/>
    <x v="1"/>
    <n v="8549.0499999999993"/>
    <n v="1"/>
    <n v="862.54"/>
    <x v="4"/>
    <x v="1"/>
  </r>
  <r>
    <s v="IND-2023-1600"/>
    <x v="293"/>
    <s v="CUS-1009"/>
    <s v="Rajesh Kumar"/>
    <s v="Hyderabad"/>
    <x v="8"/>
    <x v="0"/>
    <x v="22"/>
    <x v="4"/>
    <n v="1295"/>
    <n v="1"/>
    <n v="310"/>
    <x v="4"/>
    <x v="1"/>
  </r>
  <r>
    <s v="IND-2023-1601"/>
    <x v="184"/>
    <s v="CUS-1014"/>
    <s v="Sunita Das"/>
    <s v="Kochi"/>
    <x v="9"/>
    <x v="0"/>
    <x v="28"/>
    <x v="0"/>
    <n v="64999"/>
    <n v="1"/>
    <n v="7200"/>
    <x v="0"/>
    <x v="1"/>
  </r>
  <r>
    <s v="IND-2023-1602"/>
    <x v="294"/>
    <s v="CUS-1012"/>
    <s v="Kavita Rao"/>
    <s v="Mumbai"/>
    <x v="5"/>
    <x v="3"/>
    <x v="8"/>
    <x v="1"/>
    <n v="125970"/>
    <n v="3"/>
    <n v="13500"/>
    <x v="0"/>
    <x v="1"/>
  </r>
  <r>
    <s v="IND-2023-1603"/>
    <x v="130"/>
    <s v="CUS-1023"/>
    <s v="Gaurav Bansal"/>
    <s v="Chennai"/>
    <x v="2"/>
    <x v="0"/>
    <x v="31"/>
    <x v="0"/>
    <n v="17599.2"/>
    <n v="1"/>
    <n v="-899.85"/>
    <x v="1"/>
    <x v="1"/>
  </r>
  <r>
    <s v="IND-2023-1604"/>
    <x v="2"/>
    <s v="CUS-1005"/>
    <s v="Rohan Gupta"/>
    <s v="Indore"/>
    <x v="11"/>
    <x v="3"/>
    <x v="28"/>
    <x v="0"/>
    <n v="110498.3"/>
    <n v="2"/>
    <n v="-224.78"/>
    <x v="3"/>
    <x v="1"/>
  </r>
  <r>
    <s v="IND-2023-1605"/>
    <x v="38"/>
    <s v="CUS-1018"/>
    <s v="Divya Pillai"/>
    <s v="Ahmedabad"/>
    <x v="6"/>
    <x v="3"/>
    <x v="8"/>
    <x v="1"/>
    <n v="41990"/>
    <n v="1"/>
    <n v="4500"/>
    <x v="0"/>
    <x v="1"/>
  </r>
  <r>
    <s v="IND-2023-1606"/>
    <x v="242"/>
    <s v="CUS-1019"/>
    <s v="Manish Agarwal"/>
    <s v="Bengaluru"/>
    <x v="0"/>
    <x v="0"/>
    <x v="4"/>
    <x v="1"/>
    <n v="17098.099999999999"/>
    <n v="2"/>
    <n v="1725.07"/>
    <x v="0"/>
    <x v="1"/>
  </r>
  <r>
    <s v="IND-2023-1607"/>
    <x v="138"/>
    <s v="CUS-1019"/>
    <s v="Manish Agarwal"/>
    <s v="Patna"/>
    <x v="1"/>
    <x v="1"/>
    <x v="6"/>
    <x v="2"/>
    <n v="2106"/>
    <n v="3"/>
    <n v="544.5"/>
    <x v="1"/>
    <x v="4"/>
  </r>
  <r>
    <s v="IND-2023-1608"/>
    <x v="172"/>
    <s v="CUS-1012"/>
    <s v="Kavita Rao"/>
    <s v="Kolkata"/>
    <x v="13"/>
    <x v="1"/>
    <x v="7"/>
    <x v="1"/>
    <n v="111121.5"/>
    <n v="3"/>
    <n v="7913.62"/>
    <x v="4"/>
    <x v="1"/>
  </r>
  <r>
    <s v="IND-2023-1609"/>
    <x v="147"/>
    <s v="CUS-1018"/>
    <s v="Divya Pillai"/>
    <s v="Chennai"/>
    <x v="2"/>
    <x v="0"/>
    <x v="25"/>
    <x v="4"/>
    <n v="2848.1"/>
    <n v="2"/>
    <n v="647.58000000000004"/>
    <x v="4"/>
    <x v="1"/>
  </r>
  <r>
    <s v="IND-2023-1610"/>
    <x v="295"/>
    <s v="CUS-1024"/>
    <s v="Meera Nambiar"/>
    <s v="Chennai"/>
    <x v="2"/>
    <x v="0"/>
    <x v="26"/>
    <x v="2"/>
    <n v="420"/>
    <n v="1"/>
    <n v="96.25"/>
    <x v="4"/>
    <x v="1"/>
  </r>
  <r>
    <s v="IND-2023-1611"/>
    <x v="204"/>
    <s v="CUS-1011"/>
    <s v="Aditya Joshi"/>
    <s v="Kochi"/>
    <x v="9"/>
    <x v="0"/>
    <x v="4"/>
    <x v="1"/>
    <n v="28796.799999999999"/>
    <n v="4"/>
    <n v="-599.4"/>
    <x v="0"/>
    <x v="1"/>
  </r>
  <r>
    <s v="IND-2023-1612"/>
    <x v="31"/>
    <s v="CUS-1017"/>
    <s v="Deepak Chopra"/>
    <s v="Delhi"/>
    <x v="3"/>
    <x v="2"/>
    <x v="7"/>
    <x v="1"/>
    <n v="93576"/>
    <n v="3"/>
    <n v="-5245.5"/>
    <x v="3"/>
    <x v="1"/>
  </r>
  <r>
    <s v="IND-2023-1613"/>
    <x v="1"/>
    <s v="CUS-1003"/>
    <s v="Rahul Verma"/>
    <s v="Indore"/>
    <x v="11"/>
    <x v="3"/>
    <x v="4"/>
    <x v="1"/>
    <n v="24297.3"/>
    <n v="3"/>
    <n v="0"/>
    <x v="0"/>
    <x v="0"/>
  </r>
  <r>
    <s v="IND-2023-1614"/>
    <x v="66"/>
    <s v="CUS-1002"/>
    <s v="Priya Patel"/>
    <s v="Delhi"/>
    <x v="3"/>
    <x v="2"/>
    <x v="0"/>
    <x v="0"/>
    <n v="1199"/>
    <n v="1"/>
    <n v="260"/>
    <x v="2"/>
    <x v="1"/>
  </r>
  <r>
    <s v="IND-2023-1615"/>
    <x v="230"/>
    <s v="CUS-1007"/>
    <s v="Vikram Malhotra"/>
    <s v="Ahmedabad"/>
    <x v="6"/>
    <x v="3"/>
    <x v="21"/>
    <x v="4"/>
    <n v="7196.4"/>
    <n v="4"/>
    <n v="1480.3"/>
    <x v="4"/>
    <x v="1"/>
  </r>
  <r>
    <s v="IND-2023-1616"/>
    <x v="296"/>
    <s v="CUS-1004"/>
    <s v="Ananya Iyer"/>
    <s v="Hyderabad"/>
    <x v="8"/>
    <x v="0"/>
    <x v="10"/>
    <x v="4"/>
    <n v="9996"/>
    <n v="4"/>
    <n v="2600"/>
    <x v="3"/>
    <x v="1"/>
  </r>
  <r>
    <s v="IND-2023-1617"/>
    <x v="129"/>
    <s v="CUS-1008"/>
    <s v="Pooja Nair"/>
    <s v="Pune"/>
    <x v="5"/>
    <x v="3"/>
    <x v="14"/>
    <x v="3"/>
    <n v="809.1"/>
    <n v="1"/>
    <n v="-187.43"/>
    <x v="3"/>
    <x v="1"/>
  </r>
  <r>
    <s v="IND-2023-1618"/>
    <x v="297"/>
    <s v="CUS-1018"/>
    <s v="Divya Pillai"/>
    <s v="Pune"/>
    <x v="5"/>
    <x v="3"/>
    <x v="28"/>
    <x v="0"/>
    <n v="165747.45000000001"/>
    <n v="3"/>
    <n v="-337.16"/>
    <x v="0"/>
    <x v="1"/>
  </r>
  <r>
    <s v="IND-2023-1619"/>
    <x v="188"/>
    <s v="CUS-1020"/>
    <s v="Shweta Tiwari"/>
    <s v="Delhi"/>
    <x v="3"/>
    <x v="2"/>
    <x v="20"/>
    <x v="3"/>
    <n v="6398"/>
    <n v="2"/>
    <n v="1100"/>
    <x v="0"/>
    <x v="1"/>
  </r>
  <r>
    <s v="IND-2023-1620"/>
    <x v="86"/>
    <s v="CUS-1004"/>
    <s v="Ananya Iyer"/>
    <s v="Ahmedabad"/>
    <x v="6"/>
    <x v="3"/>
    <x v="11"/>
    <x v="0"/>
    <n v="719.1"/>
    <n v="1"/>
    <n v="-107.86"/>
    <x v="0"/>
    <x v="3"/>
  </r>
  <r>
    <s v="IND-2023-1621"/>
    <x v="145"/>
    <s v="CUS-1024"/>
    <s v="Meera Nambiar"/>
    <s v="Kochi"/>
    <x v="9"/>
    <x v="0"/>
    <x v="16"/>
    <x v="4"/>
    <n v="6897"/>
    <n v="3"/>
    <n v="-540"/>
    <x v="1"/>
    <x v="1"/>
  </r>
  <r>
    <s v="IND-2023-1622"/>
    <x v="298"/>
    <s v="CUS-1023"/>
    <s v="Gaurav Bansal"/>
    <s v="Bengaluru"/>
    <x v="0"/>
    <x v="0"/>
    <x v="16"/>
    <x v="4"/>
    <n v="5862.45"/>
    <n v="3"/>
    <n v="-1315.91"/>
    <x v="0"/>
    <x v="1"/>
  </r>
  <r>
    <s v="IND-2023-1623"/>
    <x v="208"/>
    <s v="CUS-1017"/>
    <s v="Deepak Chopra"/>
    <s v="Indore"/>
    <x v="11"/>
    <x v="3"/>
    <x v="17"/>
    <x v="0"/>
    <n v="113997.15"/>
    <n v="3"/>
    <n v="9900.11"/>
    <x v="4"/>
    <x v="1"/>
  </r>
  <r>
    <s v="IND-2023-1624"/>
    <x v="210"/>
    <s v="CUS-1017"/>
    <s v="Deepak Chopra"/>
    <s v="Delhi"/>
    <x v="3"/>
    <x v="2"/>
    <x v="4"/>
    <x v="1"/>
    <n v="34196.199999999997"/>
    <n v="4"/>
    <n v="3450.15"/>
    <x v="2"/>
    <x v="1"/>
  </r>
  <r>
    <s v="IND-2023-1625"/>
    <x v="185"/>
    <s v="CUS-1015"/>
    <s v="Karan Kapoor"/>
    <s v="Chennai"/>
    <x v="2"/>
    <x v="0"/>
    <x v="6"/>
    <x v="2"/>
    <n v="1989"/>
    <n v="3"/>
    <n v="456.75"/>
    <x v="0"/>
    <x v="1"/>
  </r>
  <r>
    <s v="IND-2023-1626"/>
    <x v="299"/>
    <s v="CUS-1022"/>
    <s v="Tanvi Deshmukh"/>
    <s v="Jaipur"/>
    <x v="12"/>
    <x v="2"/>
    <x v="22"/>
    <x v="4"/>
    <n v="1230.25"/>
    <n v="1"/>
    <n v="261.44"/>
    <x v="3"/>
    <x v="1"/>
  </r>
  <r>
    <s v="IND-2023-1627"/>
    <x v="71"/>
    <s v="CUS-1001"/>
    <s v="Aarav Sharma"/>
    <s v="Jaipur"/>
    <x v="12"/>
    <x v="2"/>
    <x v="8"/>
    <x v="1"/>
    <n v="71383"/>
    <n v="2"/>
    <n v="-447.75"/>
    <x v="0"/>
    <x v="1"/>
  </r>
  <r>
    <s v="IND-2023-1628"/>
    <x v="81"/>
    <s v="CUS-1011"/>
    <s v="Aditya Joshi"/>
    <s v="Patna"/>
    <x v="1"/>
    <x v="1"/>
    <x v="11"/>
    <x v="0"/>
    <n v="2397"/>
    <n v="3"/>
    <n v="-359.55"/>
    <x v="0"/>
    <x v="3"/>
  </r>
  <r>
    <s v="IND-2023-1629"/>
    <x v="110"/>
    <s v="CUS-1022"/>
    <s v="Tanvi Deshmukh"/>
    <s v="Ahmedabad"/>
    <x v="6"/>
    <x v="3"/>
    <x v="15"/>
    <x v="4"/>
    <n v="4556.2"/>
    <n v="4"/>
    <n v="980.15"/>
    <x v="1"/>
    <x v="1"/>
  </r>
  <r>
    <s v="IND-2023-1630"/>
    <x v="169"/>
    <s v="CUS-1013"/>
    <s v="Amit Mishra"/>
    <s v="Hyderabad"/>
    <x v="8"/>
    <x v="0"/>
    <x v="13"/>
    <x v="1"/>
    <n v="104481"/>
    <n v="2"/>
    <n v="7475.75"/>
    <x v="0"/>
    <x v="1"/>
  </r>
  <r>
    <s v="IND-2023-1631"/>
    <x v="9"/>
    <s v="CUS-1007"/>
    <s v="Vikram Malhotra"/>
    <s v="Bhubaneswar"/>
    <x v="7"/>
    <x v="1"/>
    <x v="14"/>
    <x v="3"/>
    <n v="1528.3"/>
    <n v="2"/>
    <n v="-229.24"/>
    <x v="0"/>
    <x v="3"/>
  </r>
  <r>
    <s v="IND-2023-1632"/>
    <x v="121"/>
    <s v="CUS-1004"/>
    <s v="Ananya Iyer"/>
    <s v="Mumbai"/>
    <x v="5"/>
    <x v="3"/>
    <x v="4"/>
    <x v="1"/>
    <n v="21597.599999999999"/>
    <n v="3"/>
    <n v="-449.55"/>
    <x v="0"/>
    <x v="4"/>
  </r>
  <r>
    <s v="IND-2023-1633"/>
    <x v="219"/>
    <s v="CUS-1005"/>
    <s v="Rohan Gupta"/>
    <s v="Hyderabad"/>
    <x v="8"/>
    <x v="0"/>
    <x v="20"/>
    <x v="3"/>
    <n v="3039.05"/>
    <n v="1"/>
    <n v="430.04"/>
    <x v="1"/>
    <x v="1"/>
  </r>
  <r>
    <s v="IND-2023-1634"/>
    <x v="141"/>
    <s v="CUS-1018"/>
    <s v="Divya Pillai"/>
    <s v="Pune"/>
    <x v="5"/>
    <x v="3"/>
    <x v="15"/>
    <x v="4"/>
    <n v="4556.2"/>
    <n v="4"/>
    <n v="980.15"/>
    <x v="3"/>
    <x v="1"/>
  </r>
  <r>
    <s v="IND-2023-1635"/>
    <x v="0"/>
    <s v="CUS-1017"/>
    <s v="Deepak Chopra"/>
    <s v="Bengaluru"/>
    <x v="0"/>
    <x v="0"/>
    <x v="25"/>
    <x v="4"/>
    <n v="2998"/>
    <n v="2"/>
    <n v="760"/>
    <x v="3"/>
    <x v="1"/>
  </r>
  <r>
    <s v="IND-2023-1636"/>
    <x v="238"/>
    <s v="CUS-1015"/>
    <s v="Karan Kapoor"/>
    <s v="Bhubaneswar"/>
    <x v="7"/>
    <x v="1"/>
    <x v="29"/>
    <x v="3"/>
    <n v="12998"/>
    <n v="2"/>
    <n v="1900"/>
    <x v="3"/>
    <x v="1"/>
  </r>
  <r>
    <s v="IND-2023-1637"/>
    <x v="299"/>
    <s v="CUS-1002"/>
    <s v="Priya Patel"/>
    <s v="Jaipur"/>
    <x v="12"/>
    <x v="2"/>
    <x v="0"/>
    <x v="0"/>
    <n v="3237.3"/>
    <n v="3"/>
    <n v="510.22"/>
    <x v="4"/>
    <x v="1"/>
  </r>
  <r>
    <s v="IND-2023-1638"/>
    <x v="158"/>
    <s v="CUS-1002"/>
    <s v="Priya Patel"/>
    <s v="Jaipur"/>
    <x v="12"/>
    <x v="2"/>
    <x v="18"/>
    <x v="1"/>
    <n v="2990"/>
    <n v="2"/>
    <n v="-448.5"/>
    <x v="0"/>
    <x v="3"/>
  </r>
  <r>
    <s v="IND-2023-1639"/>
    <x v="256"/>
    <s v="CUS-1020"/>
    <s v="Shweta Tiwari"/>
    <s v="Pune"/>
    <x v="5"/>
    <x v="3"/>
    <x v="2"/>
    <x v="2"/>
    <n v="449.1"/>
    <n v="1"/>
    <n v="122.57"/>
    <x v="3"/>
    <x v="4"/>
  </r>
  <r>
    <s v="IND-2023-1640"/>
    <x v="240"/>
    <s v="CUS-1010"/>
    <s v="Neha Singh"/>
    <s v="Bhubaneswar"/>
    <x v="7"/>
    <x v="1"/>
    <x v="10"/>
    <x v="4"/>
    <n v="4998"/>
    <n v="2"/>
    <n v="-749.7"/>
    <x v="0"/>
    <x v="3"/>
  </r>
  <r>
    <s v="IND-2023-1641"/>
    <x v="49"/>
    <s v="CUS-1005"/>
    <s v="Rohan Gupta"/>
    <s v="Bengaluru"/>
    <x v="0"/>
    <x v="0"/>
    <x v="15"/>
    <x v="4"/>
    <n v="3836.8"/>
    <n v="4"/>
    <n v="-575.52"/>
    <x v="1"/>
    <x v="3"/>
  </r>
  <r>
    <s v="IND-2023-1642"/>
    <x v="264"/>
    <s v="CUS-1021"/>
    <s v="Arjun Reddy"/>
    <s v="Kolkata"/>
    <x v="13"/>
    <x v="1"/>
    <x v="29"/>
    <x v="3"/>
    <n v="18522.150000000001"/>
    <n v="3"/>
    <n v="2118.86"/>
    <x v="0"/>
    <x v="1"/>
  </r>
  <r>
    <s v="IND-2023-1643"/>
    <x v="143"/>
    <s v="CUS-1025"/>
    <s v="Siddharth Sen"/>
    <s v="Patna"/>
    <x v="1"/>
    <x v="1"/>
    <x v="14"/>
    <x v="3"/>
    <n v="3416.2"/>
    <n v="4"/>
    <n v="-614.85"/>
    <x v="4"/>
    <x v="4"/>
  </r>
  <r>
    <s v="IND-2023-1644"/>
    <x v="184"/>
    <s v="CUS-1021"/>
    <s v="Arjun Reddy"/>
    <s v="Bengaluru"/>
    <x v="0"/>
    <x v="0"/>
    <x v="21"/>
    <x v="4"/>
    <n v="5397.3"/>
    <n v="3"/>
    <n v="1110.22"/>
    <x v="0"/>
    <x v="1"/>
  </r>
  <r>
    <s v="IND-2023-1645"/>
    <x v="195"/>
    <s v="CUS-1010"/>
    <s v="Neha Singh"/>
    <s v="Bengaluru"/>
    <x v="0"/>
    <x v="0"/>
    <x v="27"/>
    <x v="3"/>
    <n v="3515"/>
    <n v="2"/>
    <n v="541.25"/>
    <x v="3"/>
    <x v="1"/>
  </r>
  <r>
    <s v="IND-2023-1646"/>
    <x v="266"/>
    <s v="CUS-1018"/>
    <s v="Divya Pillai"/>
    <s v="Hyderabad"/>
    <x v="8"/>
    <x v="0"/>
    <x v="23"/>
    <x v="2"/>
    <n v="4796.8"/>
    <n v="4"/>
    <n v="540.6"/>
    <x v="0"/>
    <x v="1"/>
  </r>
  <r>
    <s v="IND-2023-1647"/>
    <x v="155"/>
    <s v="CUS-1003"/>
    <s v="Rahul Verma"/>
    <s v="Bhubaneswar"/>
    <x v="7"/>
    <x v="1"/>
    <x v="30"/>
    <x v="2"/>
    <n v="2206.6"/>
    <n v="4"/>
    <n v="587.95000000000005"/>
    <x v="0"/>
    <x v="1"/>
  </r>
  <r>
    <s v="IND-2023-1648"/>
    <x v="53"/>
    <s v="CUS-1006"/>
    <s v="Sneha Mukherjee"/>
    <s v="Jaipur"/>
    <x v="12"/>
    <x v="2"/>
    <x v="25"/>
    <x v="4"/>
    <n v="1199.2"/>
    <n v="1"/>
    <n v="155.15"/>
    <x v="3"/>
    <x v="2"/>
  </r>
  <r>
    <s v="IND-2023-1649"/>
    <x v="268"/>
    <s v="CUS-1019"/>
    <s v="Manish Agarwal"/>
    <s v="Jaipur"/>
    <x v="12"/>
    <x v="2"/>
    <x v="26"/>
    <x v="2"/>
    <n v="1785"/>
    <n v="4"/>
    <n v="463.75"/>
    <x v="4"/>
    <x v="2"/>
  </r>
  <r>
    <s v="IND-2023-1650"/>
    <x v="40"/>
    <s v="CUS-1010"/>
    <s v="Neha Singh"/>
    <s v="Patna"/>
    <x v="1"/>
    <x v="1"/>
    <x v="12"/>
    <x v="3"/>
    <n v="37497"/>
    <n v="3"/>
    <n v="-4350"/>
    <x v="1"/>
    <x v="1"/>
  </r>
  <r>
    <s v="IND-2023-1651"/>
    <x v="23"/>
    <s v="CUS-1009"/>
    <s v="Rajesh Kumar"/>
    <s v="Lucknow"/>
    <x v="10"/>
    <x v="2"/>
    <x v="19"/>
    <x v="4"/>
    <n v="1790"/>
    <n v="1"/>
    <n v="390"/>
    <x v="0"/>
    <x v="4"/>
  </r>
  <r>
    <s v="IND-2023-1652"/>
    <x v="236"/>
    <s v="CUS-1020"/>
    <s v="Shweta Tiwari"/>
    <s v="Kolkata"/>
    <x v="13"/>
    <x v="1"/>
    <x v="7"/>
    <x v="1"/>
    <n v="66283"/>
    <n v="2"/>
    <n v="0"/>
    <x v="0"/>
    <x v="0"/>
  </r>
  <r>
    <s v="IND-2023-1653"/>
    <x v="268"/>
    <s v="CUS-1009"/>
    <s v="Rajesh Kumar"/>
    <s v="Kolkata"/>
    <x v="13"/>
    <x v="1"/>
    <x v="26"/>
    <x v="2"/>
    <n v="1995"/>
    <n v="4"/>
    <n v="621.25"/>
    <x v="0"/>
    <x v="1"/>
  </r>
  <r>
    <s v="IND-2023-1654"/>
    <x v="300"/>
    <s v="CUS-1018"/>
    <s v="Divya Pillai"/>
    <s v="Chandigarh"/>
    <x v="4"/>
    <x v="2"/>
    <x v="19"/>
    <x v="4"/>
    <n v="7160"/>
    <n v="4"/>
    <n v="1560"/>
    <x v="0"/>
    <x v="1"/>
  </r>
  <r>
    <s v="IND-2023-1655"/>
    <x v="1"/>
    <s v="CUS-1024"/>
    <s v="Meera Nambiar"/>
    <s v="Bengaluru"/>
    <x v="0"/>
    <x v="0"/>
    <x v="21"/>
    <x v="4"/>
    <n v="5997"/>
    <n v="3"/>
    <n v="1560"/>
    <x v="2"/>
    <x v="1"/>
  </r>
  <r>
    <s v="IND-2023-1656"/>
    <x v="253"/>
    <s v="CUS-1020"/>
    <s v="Shweta Tiwari"/>
    <s v="Bengaluru"/>
    <x v="0"/>
    <x v="0"/>
    <x v="5"/>
    <x v="3"/>
    <n v="756"/>
    <n v="1"/>
    <n v="-113.4"/>
    <x v="0"/>
    <x v="3"/>
  </r>
  <r>
    <s v="IND-2023-1657"/>
    <x v="164"/>
    <s v="CUS-1010"/>
    <s v="Neha Singh"/>
    <s v="Mumbai"/>
    <x v="5"/>
    <x v="3"/>
    <x v="7"/>
    <x v="1"/>
    <n v="62384"/>
    <n v="2"/>
    <n v="-3497"/>
    <x v="3"/>
    <x v="1"/>
  </r>
  <r>
    <s v="IND-2023-1658"/>
    <x v="87"/>
    <s v="CUS-1018"/>
    <s v="Divya Pillai"/>
    <s v="Kochi"/>
    <x v="9"/>
    <x v="0"/>
    <x v="9"/>
    <x v="0"/>
    <n v="3238.2"/>
    <n v="2"/>
    <n v="490.15"/>
    <x v="1"/>
    <x v="1"/>
  </r>
  <r>
    <s v="IND-2023-1659"/>
    <x v="301"/>
    <s v="CUS-1013"/>
    <s v="Amit Mishra"/>
    <s v="Delhi"/>
    <x v="3"/>
    <x v="2"/>
    <x v="18"/>
    <x v="1"/>
    <n v="1495"/>
    <n v="1"/>
    <n v="350"/>
    <x v="0"/>
    <x v="1"/>
  </r>
  <r>
    <s v="IND-2023-1660"/>
    <x v="207"/>
    <s v="CUS-1009"/>
    <s v="Rajesh Kumar"/>
    <s v="Patna"/>
    <x v="1"/>
    <x v="1"/>
    <x v="20"/>
    <x v="3"/>
    <n v="6398"/>
    <n v="2"/>
    <n v="1100"/>
    <x v="4"/>
    <x v="1"/>
  </r>
  <r>
    <s v="IND-2023-1661"/>
    <x v="302"/>
    <s v="CUS-1021"/>
    <s v="Arjun Reddy"/>
    <s v="Delhi"/>
    <x v="3"/>
    <x v="2"/>
    <x v="24"/>
    <x v="3"/>
    <n v="3439.2"/>
    <n v="1"/>
    <n v="75.150000000000006"/>
    <x v="4"/>
    <x v="1"/>
  </r>
  <r>
    <s v="IND-2023-1662"/>
    <x v="198"/>
    <s v="CUS-1010"/>
    <s v="Neha Singh"/>
    <s v="Mumbai"/>
    <x v="5"/>
    <x v="3"/>
    <x v="12"/>
    <x v="3"/>
    <n v="49996"/>
    <n v="4"/>
    <n v="-5800"/>
    <x v="4"/>
    <x v="1"/>
  </r>
  <r>
    <s v="IND-2023-1663"/>
    <x v="303"/>
    <s v="CUS-1007"/>
    <s v="Vikram Malhotra"/>
    <s v="Chennai"/>
    <x v="2"/>
    <x v="0"/>
    <x v="20"/>
    <x v="3"/>
    <n v="5758.2"/>
    <n v="2"/>
    <n v="620.15"/>
    <x v="1"/>
    <x v="1"/>
  </r>
  <r>
    <s v="IND-2023-1664"/>
    <x v="276"/>
    <s v="CUS-1020"/>
    <s v="Shweta Tiwari"/>
    <s v="Kochi"/>
    <x v="9"/>
    <x v="0"/>
    <x v="19"/>
    <x v="4"/>
    <n v="3401"/>
    <n v="2"/>
    <n v="645.75"/>
    <x v="3"/>
    <x v="1"/>
  </r>
  <r>
    <s v="IND-2023-1665"/>
    <x v="195"/>
    <s v="CUS-1012"/>
    <s v="Kavita Rao"/>
    <s v="Lucknow"/>
    <x v="10"/>
    <x v="2"/>
    <x v="21"/>
    <x v="4"/>
    <n v="3998"/>
    <n v="2"/>
    <n v="1040"/>
    <x v="3"/>
    <x v="1"/>
  </r>
  <r>
    <s v="IND-2023-1666"/>
    <x v="235"/>
    <s v="CUS-1004"/>
    <s v="Ananya Iyer"/>
    <s v="Mumbai"/>
    <x v="5"/>
    <x v="3"/>
    <x v="20"/>
    <x v="3"/>
    <n v="3199"/>
    <n v="1"/>
    <n v="550"/>
    <x v="1"/>
    <x v="1"/>
  </r>
  <r>
    <s v="IND-2023-1667"/>
    <x v="301"/>
    <s v="CUS-1009"/>
    <s v="Rajesh Kumar"/>
    <s v="Patna"/>
    <x v="1"/>
    <x v="1"/>
    <x v="12"/>
    <x v="3"/>
    <n v="49996"/>
    <n v="4"/>
    <n v="-5800"/>
    <x v="0"/>
    <x v="1"/>
  </r>
  <r>
    <s v="IND-2023-1668"/>
    <x v="48"/>
    <s v="CUS-1012"/>
    <s v="Kavita Rao"/>
    <s v="Chennai"/>
    <x v="2"/>
    <x v="0"/>
    <x v="27"/>
    <x v="3"/>
    <n v="3330"/>
    <n v="2"/>
    <n v="-499.5"/>
    <x v="0"/>
    <x v="3"/>
  </r>
  <r>
    <s v="IND-2023-1669"/>
    <x v="106"/>
    <s v="CUS-1019"/>
    <s v="Manish Agarwal"/>
    <s v="Lucknow"/>
    <x v="10"/>
    <x v="2"/>
    <x v="23"/>
    <x v="2"/>
    <n v="5996"/>
    <n v="4"/>
    <n v="1440"/>
    <x v="2"/>
    <x v="1"/>
  </r>
  <r>
    <s v="IND-2023-1670"/>
    <x v="207"/>
    <s v="CUS-1005"/>
    <s v="Rohan Gupta"/>
    <s v="Pune"/>
    <x v="5"/>
    <x v="3"/>
    <x v="20"/>
    <x v="3"/>
    <n v="10876.6"/>
    <n v="4"/>
    <n v="760.45"/>
    <x v="1"/>
    <x v="1"/>
  </r>
  <r>
    <s v="IND-2023-1671"/>
    <x v="199"/>
    <s v="CUS-1007"/>
    <s v="Vikram Malhotra"/>
    <s v="Kochi"/>
    <x v="9"/>
    <x v="0"/>
    <x v="7"/>
    <x v="1"/>
    <n v="38990"/>
    <n v="1"/>
    <n v="4100"/>
    <x v="4"/>
    <x v="1"/>
  </r>
  <r>
    <s v="IND-2023-1672"/>
    <x v="304"/>
    <s v="CUS-1005"/>
    <s v="Rohan Gupta"/>
    <s v="Chandigarh"/>
    <x v="4"/>
    <x v="2"/>
    <x v="9"/>
    <x v="0"/>
    <n v="1529.15"/>
    <n v="1"/>
    <n v="177.61"/>
    <x v="3"/>
    <x v="1"/>
  </r>
  <r>
    <s v="IND-2023-1673"/>
    <x v="253"/>
    <s v="CUS-1023"/>
    <s v="Gaurav Bansal"/>
    <s v="Ahmedabad"/>
    <x v="6"/>
    <x v="3"/>
    <x v="14"/>
    <x v="3"/>
    <n v="2292.4499999999998"/>
    <n v="3"/>
    <n v="0"/>
    <x v="0"/>
    <x v="0"/>
  </r>
  <r>
    <s v="IND-2023-1674"/>
    <x v="49"/>
    <s v="CUS-1001"/>
    <s v="Aarav Sharma"/>
    <s v="Pune"/>
    <x v="5"/>
    <x v="3"/>
    <x v="16"/>
    <x v="4"/>
    <n v="8736.2000000000007"/>
    <n v="4"/>
    <n v="-1064.8499999999999"/>
    <x v="3"/>
    <x v="4"/>
  </r>
  <r>
    <s v="IND-2023-1675"/>
    <x v="305"/>
    <s v="CUS-1014"/>
    <s v="Sunita Das"/>
    <s v="Pune"/>
    <x v="5"/>
    <x v="3"/>
    <x v="26"/>
    <x v="2"/>
    <n v="525"/>
    <n v="1"/>
    <n v="175"/>
    <x v="0"/>
    <x v="1"/>
  </r>
  <r>
    <s v="IND-2023-1676"/>
    <x v="168"/>
    <s v="CUS-1020"/>
    <s v="Shweta Tiwari"/>
    <s v="Kolkata"/>
    <x v="13"/>
    <x v="1"/>
    <x v="7"/>
    <x v="1"/>
    <n v="105273"/>
    <n v="3"/>
    <n v="3527.25"/>
    <x v="0"/>
    <x v="1"/>
  </r>
  <r>
    <s v="IND-2023-1677"/>
    <x v="256"/>
    <s v="CUS-1014"/>
    <s v="Sunita Das"/>
    <s v="Pune"/>
    <x v="5"/>
    <x v="3"/>
    <x v="31"/>
    <x v="0"/>
    <n v="20899.05"/>
    <n v="1"/>
    <n v="1575.04"/>
    <x v="4"/>
    <x v="1"/>
  </r>
  <r>
    <s v="IND-2023-1678"/>
    <x v="55"/>
    <s v="CUS-1017"/>
    <s v="Deepak Chopra"/>
    <s v="Indore"/>
    <x v="11"/>
    <x v="3"/>
    <x v="7"/>
    <x v="1"/>
    <n v="148162"/>
    <n v="4"/>
    <n v="10551.5"/>
    <x v="0"/>
    <x v="1"/>
  </r>
  <r>
    <s v="IND-2023-1679"/>
    <x v="58"/>
    <s v="CUS-1013"/>
    <s v="Amit Mishra"/>
    <s v="Patna"/>
    <x v="1"/>
    <x v="1"/>
    <x v="10"/>
    <x v="4"/>
    <n v="1999.2"/>
    <n v="1"/>
    <n v="275.14999999999998"/>
    <x v="4"/>
    <x v="1"/>
  </r>
  <r>
    <s v="IND-2023-1680"/>
    <x v="22"/>
    <s v="CUS-1006"/>
    <s v="Sneha Mukherjee"/>
    <s v="Kolkata"/>
    <x v="13"/>
    <x v="1"/>
    <x v="29"/>
    <x v="3"/>
    <n v="6499"/>
    <n v="1"/>
    <n v="950"/>
    <x v="0"/>
    <x v="4"/>
  </r>
  <r>
    <s v="IND-2023-1681"/>
    <x v="231"/>
    <s v="CUS-1002"/>
    <s v="Priya Patel"/>
    <s v="Mumbai"/>
    <x v="5"/>
    <x v="3"/>
    <x v="18"/>
    <x v="1"/>
    <n v="5083"/>
    <n v="4"/>
    <n v="727.25"/>
    <x v="3"/>
    <x v="1"/>
  </r>
  <r>
    <s v="IND-2023-1682"/>
    <x v="100"/>
    <s v="CUS-1013"/>
    <s v="Amit Mishra"/>
    <s v="Patna"/>
    <x v="1"/>
    <x v="1"/>
    <x v="7"/>
    <x v="1"/>
    <n v="38990"/>
    <n v="1"/>
    <n v="4100"/>
    <x v="0"/>
    <x v="1"/>
  </r>
  <r>
    <s v="IND-2023-1683"/>
    <x v="218"/>
    <s v="CUS-1023"/>
    <s v="Gaurav Bansal"/>
    <s v="Chandigarh"/>
    <x v="4"/>
    <x v="2"/>
    <x v="30"/>
    <x v="2"/>
    <n v="616.54999999999995"/>
    <n v="1"/>
    <n v="195.66"/>
    <x v="2"/>
    <x v="1"/>
  </r>
  <r>
    <s v="IND-2023-1684"/>
    <x v="131"/>
    <s v="CUS-1017"/>
    <s v="Deepak Chopra"/>
    <s v="Mumbai"/>
    <x v="5"/>
    <x v="3"/>
    <x v="18"/>
    <x v="1"/>
    <n v="1495"/>
    <n v="1"/>
    <n v="350"/>
    <x v="0"/>
    <x v="1"/>
  </r>
  <r>
    <s v="IND-2023-1685"/>
    <x v="83"/>
    <s v="CUS-1003"/>
    <s v="Rahul Verma"/>
    <s v="Bengaluru"/>
    <x v="0"/>
    <x v="0"/>
    <x v="9"/>
    <x v="0"/>
    <n v="4587.45"/>
    <n v="3"/>
    <n v="532.84"/>
    <x v="4"/>
    <x v="1"/>
  </r>
  <r>
    <s v="IND-2023-1686"/>
    <x v="306"/>
    <s v="CUS-1017"/>
    <s v="Deepak Chopra"/>
    <s v="Pune"/>
    <x v="5"/>
    <x v="3"/>
    <x v="13"/>
    <x v="1"/>
    <n v="93483"/>
    <n v="2"/>
    <n v="-772.75"/>
    <x v="0"/>
    <x v="1"/>
  </r>
  <r>
    <s v="IND-2023-1687"/>
    <x v="254"/>
    <s v="CUS-1019"/>
    <s v="Manish Agarwal"/>
    <s v="Ahmedabad"/>
    <x v="6"/>
    <x v="3"/>
    <x v="23"/>
    <x v="2"/>
    <n v="2548.3000000000002"/>
    <n v="2"/>
    <n v="382.73"/>
    <x v="4"/>
    <x v="1"/>
  </r>
  <r>
    <s v="IND-2023-1688"/>
    <x v="260"/>
    <s v="CUS-1009"/>
    <s v="Rajesh Kumar"/>
    <s v="Kolkata"/>
    <x v="13"/>
    <x v="1"/>
    <x v="11"/>
    <x v="0"/>
    <n v="1917.6"/>
    <n v="3"/>
    <n v="390.45"/>
    <x v="3"/>
    <x v="1"/>
  </r>
  <r>
    <s v="IND-2023-1689"/>
    <x v="307"/>
    <s v="CUS-1021"/>
    <s v="Arjun Reddy"/>
    <s v="Kolkata"/>
    <x v="13"/>
    <x v="1"/>
    <x v="25"/>
    <x v="4"/>
    <n v="4272.1499999999996"/>
    <n v="3"/>
    <n v="971.36"/>
    <x v="0"/>
    <x v="1"/>
  </r>
  <r>
    <s v="IND-2023-1690"/>
    <x v="18"/>
    <s v="CUS-1020"/>
    <s v="Shweta Tiwari"/>
    <s v="Kolkata"/>
    <x v="13"/>
    <x v="1"/>
    <x v="19"/>
    <x v="4"/>
    <n v="1432"/>
    <n v="1"/>
    <n v="121.5"/>
    <x v="0"/>
    <x v="1"/>
  </r>
  <r>
    <s v="IND-2023-1691"/>
    <x v="63"/>
    <s v="CUS-1018"/>
    <s v="Divya Pillai"/>
    <s v="Jaipur"/>
    <x v="12"/>
    <x v="2"/>
    <x v="29"/>
    <x v="3"/>
    <n v="11698.2"/>
    <n v="2"/>
    <n v="925.15"/>
    <x v="0"/>
    <x v="1"/>
  </r>
  <r>
    <s v="IND-2023-1692"/>
    <x v="156"/>
    <s v="CUS-1016"/>
    <s v="Ritu Mehta"/>
    <s v="Jaipur"/>
    <x v="12"/>
    <x v="2"/>
    <x v="26"/>
    <x v="2"/>
    <n v="840"/>
    <n v="2"/>
    <n v="192.5"/>
    <x v="0"/>
    <x v="1"/>
  </r>
  <r>
    <s v="IND-2023-1693"/>
    <x v="168"/>
    <s v="CUS-1024"/>
    <s v="Meera Nambiar"/>
    <s v="Patna"/>
    <x v="1"/>
    <x v="1"/>
    <x v="24"/>
    <x v="3"/>
    <n v="11607.3"/>
    <n v="3"/>
    <n v="1192.72"/>
    <x v="3"/>
    <x v="1"/>
  </r>
  <r>
    <s v="IND-2023-1694"/>
    <x v="307"/>
    <s v="CUS-1013"/>
    <s v="Amit Mishra"/>
    <s v="Hyderabad"/>
    <x v="8"/>
    <x v="0"/>
    <x v="27"/>
    <x v="3"/>
    <n v="1850"/>
    <n v="1"/>
    <n v="340"/>
    <x v="0"/>
    <x v="1"/>
  </r>
  <r>
    <s v="IND-2023-1695"/>
    <x v="222"/>
    <s v="CUS-1023"/>
    <s v="Gaurav Bansal"/>
    <s v="Jaipur"/>
    <x v="12"/>
    <x v="2"/>
    <x v="26"/>
    <x v="2"/>
    <n v="1496.25"/>
    <n v="3"/>
    <n v="465.94"/>
    <x v="0"/>
    <x v="4"/>
  </r>
  <r>
    <s v="IND-2023-1696"/>
    <x v="163"/>
    <s v="CUS-1008"/>
    <s v="Pooja Nair"/>
    <s v="Lucknow"/>
    <x v="10"/>
    <x v="2"/>
    <x v="20"/>
    <x v="3"/>
    <n v="3199"/>
    <n v="1"/>
    <n v="550"/>
    <x v="0"/>
    <x v="1"/>
  </r>
  <r>
    <s v="IND-2023-1697"/>
    <x v="174"/>
    <s v="CUS-1007"/>
    <s v="Vikram Malhotra"/>
    <s v="Chennai"/>
    <x v="2"/>
    <x v="0"/>
    <x v="21"/>
    <x v="4"/>
    <n v="3998"/>
    <n v="2"/>
    <n v="1040"/>
    <x v="0"/>
    <x v="1"/>
  </r>
  <r>
    <s v="IND-2023-1698"/>
    <x v="277"/>
    <s v="CUS-1012"/>
    <s v="Kavita Rao"/>
    <s v="Kochi"/>
    <x v="9"/>
    <x v="0"/>
    <x v="18"/>
    <x v="1"/>
    <n v="2990"/>
    <n v="2"/>
    <n v="700"/>
    <x v="3"/>
    <x v="1"/>
  </r>
  <r>
    <s v="IND-2023-1699"/>
    <x v="196"/>
    <s v="CUS-1006"/>
    <s v="Sneha Mukherjee"/>
    <s v="Hyderabad"/>
    <x v="8"/>
    <x v="0"/>
    <x v="3"/>
    <x v="0"/>
    <n v="1169.0999999999999"/>
    <n v="1"/>
    <n v="222.57"/>
    <x v="3"/>
    <x v="1"/>
  </r>
  <r>
    <s v="IND-2023-1700"/>
    <x v="261"/>
    <s v="CUS-1015"/>
    <s v="Karan Kapoor"/>
    <s v="Chennai"/>
    <x v="2"/>
    <x v="0"/>
    <x v="26"/>
    <x v="2"/>
    <n v="840"/>
    <n v="2"/>
    <n v="192.5"/>
    <x v="0"/>
    <x v="4"/>
  </r>
  <r>
    <s v="IND-2023-1701"/>
    <x v="59"/>
    <s v="CUS-1024"/>
    <s v="Meera Nambiar"/>
    <s v="Hyderabad"/>
    <x v="8"/>
    <x v="0"/>
    <x v="21"/>
    <x v="4"/>
    <n v="6396.8"/>
    <n v="4"/>
    <n v="880.6"/>
    <x v="0"/>
    <x v="2"/>
  </r>
  <r>
    <s v="IND-2023-1702"/>
    <x v="245"/>
    <s v="CUS-1004"/>
    <s v="Ananya Iyer"/>
    <s v="Patna"/>
    <x v="1"/>
    <x v="1"/>
    <x v="18"/>
    <x v="1"/>
    <n v="1495"/>
    <n v="1"/>
    <n v="350"/>
    <x v="3"/>
    <x v="1"/>
  </r>
  <r>
    <s v="IND-2023-1703"/>
    <x v="304"/>
    <s v="CUS-1006"/>
    <s v="Sneha Mukherjee"/>
    <s v="Kolkata"/>
    <x v="13"/>
    <x v="1"/>
    <x v="21"/>
    <x v="4"/>
    <n v="3598.2"/>
    <n v="2"/>
    <n v="740.15"/>
    <x v="0"/>
    <x v="1"/>
  </r>
  <r>
    <s v="IND-2023-1704"/>
    <x v="89"/>
    <s v="CUS-1014"/>
    <s v="Sunita Das"/>
    <s v="Mumbai"/>
    <x v="5"/>
    <x v="3"/>
    <x v="29"/>
    <x v="3"/>
    <n v="25996"/>
    <n v="4"/>
    <n v="3800"/>
    <x v="4"/>
    <x v="1"/>
  </r>
  <r>
    <s v="IND-2023-1705"/>
    <x v="32"/>
    <s v="CUS-1018"/>
    <s v="Divya Pillai"/>
    <s v="Ahmedabad"/>
    <x v="6"/>
    <x v="3"/>
    <x v="15"/>
    <x v="4"/>
    <n v="959.2"/>
    <n v="1"/>
    <n v="110.15"/>
    <x v="1"/>
    <x v="1"/>
  </r>
  <r>
    <s v="IND-2023-1706"/>
    <x v="308"/>
    <s v="CUS-1016"/>
    <s v="Ritu Mehta"/>
    <s v="Chennai"/>
    <x v="2"/>
    <x v="0"/>
    <x v="6"/>
    <x v="2"/>
    <n v="2808"/>
    <n v="4"/>
    <n v="726"/>
    <x v="0"/>
    <x v="1"/>
  </r>
  <r>
    <s v="IND-2023-1707"/>
    <x v="130"/>
    <s v="CUS-1023"/>
    <s v="Gaurav Bansal"/>
    <s v="Jaipur"/>
    <x v="12"/>
    <x v="2"/>
    <x v="24"/>
    <x v="3"/>
    <n v="16336.2"/>
    <n v="4"/>
    <n v="2235.15"/>
    <x v="4"/>
    <x v="1"/>
  </r>
  <r>
    <s v="IND-2023-1708"/>
    <x v="52"/>
    <s v="CUS-1025"/>
    <s v="Siddharth Sen"/>
    <s v="Bengaluru"/>
    <x v="0"/>
    <x v="0"/>
    <x v="24"/>
    <x v="3"/>
    <n v="11607.3"/>
    <n v="3"/>
    <n v="1192.72"/>
    <x v="3"/>
    <x v="1"/>
  </r>
  <r>
    <s v="IND-2023-1709"/>
    <x v="132"/>
    <s v="CUS-1007"/>
    <s v="Vikram Malhotra"/>
    <s v="Delhi"/>
    <x v="3"/>
    <x v="2"/>
    <x v="14"/>
    <x v="3"/>
    <n v="719.2"/>
    <n v="1"/>
    <n v="-254.85"/>
    <x v="0"/>
    <x v="1"/>
  </r>
  <r>
    <s v="IND-2023-1710"/>
    <x v="234"/>
    <s v="CUS-1021"/>
    <s v="Arjun Reddy"/>
    <s v="Bengaluru"/>
    <x v="0"/>
    <x v="0"/>
    <x v="15"/>
    <x v="4"/>
    <n v="2398"/>
    <n v="2"/>
    <n v="580"/>
    <x v="0"/>
    <x v="1"/>
  </r>
  <r>
    <s v="IND-2023-1711"/>
    <x v="44"/>
    <s v="CUS-1023"/>
    <s v="Gaurav Bansal"/>
    <s v="Bengaluru"/>
    <x v="0"/>
    <x v="0"/>
    <x v="13"/>
    <x v="1"/>
    <n v="156721.5"/>
    <n v="3"/>
    <n v="11213.62"/>
    <x v="1"/>
    <x v="1"/>
  </r>
  <r>
    <s v="IND-2023-1712"/>
    <x v="274"/>
    <s v="CUS-1009"/>
    <s v="Rajesh Kumar"/>
    <s v="Indore"/>
    <x v="11"/>
    <x v="3"/>
    <x v="9"/>
    <x v="0"/>
    <n v="5397"/>
    <n v="3"/>
    <n v="-809.55"/>
    <x v="3"/>
    <x v="3"/>
  </r>
  <r>
    <s v="IND-2023-1713"/>
    <x v="309"/>
    <s v="CUS-1009"/>
    <s v="Rajesh Kumar"/>
    <s v="Kolkata"/>
    <x v="13"/>
    <x v="1"/>
    <x v="26"/>
    <x v="2"/>
    <n v="1050"/>
    <n v="2"/>
    <n v="350"/>
    <x v="3"/>
    <x v="1"/>
  </r>
  <r>
    <s v="IND-2023-1714"/>
    <x v="300"/>
    <s v="CUS-1002"/>
    <s v="Priya Patel"/>
    <s v="Pune"/>
    <x v="5"/>
    <x v="3"/>
    <x v="28"/>
    <x v="0"/>
    <n v="259996"/>
    <n v="4"/>
    <n v="28800"/>
    <x v="0"/>
    <x v="1"/>
  </r>
  <r>
    <s v="IND-2023-1715"/>
    <x v="127"/>
    <s v="CUS-1013"/>
    <s v="Amit Mishra"/>
    <s v="Ahmedabad"/>
    <x v="6"/>
    <x v="3"/>
    <x v="8"/>
    <x v="1"/>
    <n v="41990"/>
    <n v="1"/>
    <n v="4500"/>
    <x v="0"/>
    <x v="1"/>
  </r>
  <r>
    <s v="IND-2023-1716"/>
    <x v="259"/>
    <s v="CUS-1020"/>
    <s v="Shweta Tiwari"/>
    <s v="Kolkata"/>
    <x v="13"/>
    <x v="1"/>
    <x v="10"/>
    <x v="4"/>
    <n v="2124.15"/>
    <n v="1"/>
    <n v="368.86"/>
    <x v="1"/>
    <x v="1"/>
  </r>
  <r>
    <s v="IND-2023-1717"/>
    <x v="267"/>
    <s v="CUS-1008"/>
    <s v="Pooja Nair"/>
    <s v="Delhi"/>
    <x v="3"/>
    <x v="2"/>
    <x v="24"/>
    <x v="3"/>
    <n v="4084.05"/>
    <n v="1"/>
    <n v="558.79"/>
    <x v="0"/>
    <x v="2"/>
  </r>
  <r>
    <s v="IND-2023-1718"/>
    <x v="168"/>
    <s v="CUS-1021"/>
    <s v="Arjun Reddy"/>
    <s v="Chandigarh"/>
    <x v="4"/>
    <x v="2"/>
    <x v="19"/>
    <x v="4"/>
    <n v="3222"/>
    <n v="2"/>
    <n v="511.5"/>
    <x v="0"/>
    <x v="1"/>
  </r>
  <r>
    <s v="IND-2023-1719"/>
    <x v="83"/>
    <s v="CUS-1010"/>
    <s v="Neha Singh"/>
    <s v="Hyderabad"/>
    <x v="8"/>
    <x v="0"/>
    <x v="12"/>
    <x v="3"/>
    <n v="24998"/>
    <n v="2"/>
    <n v="-2900"/>
    <x v="0"/>
    <x v="1"/>
  </r>
  <r>
    <s v="IND-2023-1720"/>
    <x v="24"/>
    <s v="CUS-1005"/>
    <s v="Rohan Gupta"/>
    <s v="Bengaluru"/>
    <x v="0"/>
    <x v="0"/>
    <x v="10"/>
    <x v="4"/>
    <n v="4998"/>
    <n v="2"/>
    <n v="-749.7"/>
    <x v="0"/>
    <x v="3"/>
  </r>
  <r>
    <s v="IND-2023-1721"/>
    <x v="13"/>
    <s v="CUS-1004"/>
    <s v="Ananya Iyer"/>
    <s v="Chandigarh"/>
    <x v="4"/>
    <x v="2"/>
    <x v="2"/>
    <x v="2"/>
    <n v="1896.2"/>
    <n v="4"/>
    <n v="565.15"/>
    <x v="0"/>
    <x v="1"/>
  </r>
  <r>
    <s v="IND-2023-1722"/>
    <x v="142"/>
    <s v="CUS-1021"/>
    <s v="Arjun Reddy"/>
    <s v="Lucknow"/>
    <x v="10"/>
    <x v="2"/>
    <x v="12"/>
    <x v="3"/>
    <n v="42496.6"/>
    <n v="4"/>
    <n v="-11424.55"/>
    <x v="0"/>
    <x v="1"/>
  </r>
  <r>
    <s v="IND-2023-1723"/>
    <x v="254"/>
    <s v="CUS-1004"/>
    <s v="Ananya Iyer"/>
    <s v="Kochi"/>
    <x v="9"/>
    <x v="0"/>
    <x v="11"/>
    <x v="0"/>
    <n v="639.20000000000005"/>
    <n v="1"/>
    <n v="130.15"/>
    <x v="1"/>
    <x v="1"/>
  </r>
  <r>
    <s v="IND-2023-1724"/>
    <x v="310"/>
    <s v="CUS-1013"/>
    <s v="Amit Mishra"/>
    <s v="Jaipur"/>
    <x v="12"/>
    <x v="2"/>
    <x v="9"/>
    <x v="0"/>
    <n v="3058.3"/>
    <n v="2"/>
    <n v="355.23"/>
    <x v="4"/>
    <x v="1"/>
  </r>
  <r>
    <s v="IND-2023-1725"/>
    <x v="264"/>
    <s v="CUS-1011"/>
    <s v="Aditya Joshi"/>
    <s v="Patna"/>
    <x v="1"/>
    <x v="1"/>
    <x v="9"/>
    <x v="0"/>
    <n v="7196"/>
    <n v="4"/>
    <n v="1520"/>
    <x v="0"/>
    <x v="1"/>
  </r>
  <r>
    <s v="IND-2023-1726"/>
    <x v="151"/>
    <s v="CUS-1025"/>
    <s v="Siddharth Sen"/>
    <s v="Delhi"/>
    <x v="3"/>
    <x v="2"/>
    <x v="12"/>
    <x v="3"/>
    <n v="31872.45"/>
    <n v="3"/>
    <n v="-8568.41"/>
    <x v="3"/>
    <x v="1"/>
  </r>
  <r>
    <s v="IND-2023-1727"/>
    <x v="149"/>
    <s v="CUS-1019"/>
    <s v="Manish Agarwal"/>
    <s v="Mumbai"/>
    <x v="5"/>
    <x v="3"/>
    <x v="7"/>
    <x v="1"/>
    <n v="35091"/>
    <n v="1"/>
    <n v="1175.75"/>
    <x v="2"/>
    <x v="1"/>
  </r>
  <r>
    <s v="IND-2023-1728"/>
    <x v="210"/>
    <s v="CUS-1002"/>
    <s v="Priya Patel"/>
    <s v="Chandigarh"/>
    <x v="4"/>
    <x v="2"/>
    <x v="22"/>
    <x v="4"/>
    <n v="3302.25"/>
    <n v="3"/>
    <n v="492.94"/>
    <x v="0"/>
    <x v="1"/>
  </r>
  <r>
    <s v="IND-2023-1729"/>
    <x v="77"/>
    <s v="CUS-1005"/>
    <s v="Rohan Gupta"/>
    <s v="Ahmedabad"/>
    <x v="6"/>
    <x v="3"/>
    <x v="24"/>
    <x v="3"/>
    <n v="10317.6"/>
    <n v="3"/>
    <n v="225.45"/>
    <x v="0"/>
    <x v="1"/>
  </r>
  <r>
    <s v="IND-2023-1730"/>
    <x v="8"/>
    <s v="CUS-1024"/>
    <s v="Meera Nambiar"/>
    <s v="Indore"/>
    <x v="11"/>
    <x v="3"/>
    <x v="6"/>
    <x v="2"/>
    <n v="624"/>
    <n v="1"/>
    <n v="123"/>
    <x v="0"/>
    <x v="4"/>
  </r>
  <r>
    <s v="IND-2023-1731"/>
    <x v="277"/>
    <s v="CUS-1022"/>
    <s v="Tanvi Deshmukh"/>
    <s v="Lucknow"/>
    <x v="10"/>
    <x v="2"/>
    <x v="26"/>
    <x v="2"/>
    <n v="472.5"/>
    <n v="1"/>
    <n v="135.62"/>
    <x v="2"/>
    <x v="2"/>
  </r>
  <r>
    <s v="IND-2023-1732"/>
    <x v="301"/>
    <s v="CUS-1001"/>
    <s v="Aarav Sharma"/>
    <s v="Mumbai"/>
    <x v="5"/>
    <x v="3"/>
    <x v="19"/>
    <x v="4"/>
    <n v="7160"/>
    <n v="4"/>
    <n v="1560"/>
    <x v="1"/>
    <x v="1"/>
  </r>
  <r>
    <s v="IND-2023-1733"/>
    <x v="9"/>
    <s v="CUS-1014"/>
    <s v="Sunita Das"/>
    <s v="Mumbai"/>
    <x v="5"/>
    <x v="3"/>
    <x v="9"/>
    <x v="0"/>
    <n v="5127.1499999999996"/>
    <n v="3"/>
    <n v="937.61"/>
    <x v="1"/>
    <x v="2"/>
  </r>
  <r>
    <s v="IND-2023-1734"/>
    <x v="197"/>
    <s v="CUS-1012"/>
    <s v="Kavita Rao"/>
    <s v="Lucknow"/>
    <x v="10"/>
    <x v="2"/>
    <x v="18"/>
    <x v="1"/>
    <n v="4485"/>
    <n v="3"/>
    <n v="1050"/>
    <x v="0"/>
    <x v="1"/>
  </r>
  <r>
    <s v="IND-2023-1735"/>
    <x v="199"/>
    <s v="CUS-1020"/>
    <s v="Shweta Tiwari"/>
    <s v="Jaipur"/>
    <x v="12"/>
    <x v="2"/>
    <x v="14"/>
    <x v="3"/>
    <n v="3596"/>
    <n v="4"/>
    <n v="-480"/>
    <x v="2"/>
    <x v="1"/>
  </r>
  <r>
    <s v="IND-2023-1736"/>
    <x v="282"/>
    <s v="CUS-1008"/>
    <s v="Pooja Nair"/>
    <s v="Bengaluru"/>
    <x v="0"/>
    <x v="0"/>
    <x v="16"/>
    <x v="4"/>
    <n v="9196"/>
    <n v="4"/>
    <n v="-1379.4"/>
    <x v="3"/>
    <x v="3"/>
  </r>
  <r>
    <s v="IND-2023-1737"/>
    <x v="244"/>
    <s v="CUS-1002"/>
    <s v="Priya Patel"/>
    <s v="Kochi"/>
    <x v="9"/>
    <x v="0"/>
    <x v="2"/>
    <x v="2"/>
    <n v="399.2"/>
    <n v="1"/>
    <n v="85.15"/>
    <x v="0"/>
    <x v="1"/>
  </r>
  <r>
    <s v="IND-2023-1738"/>
    <x v="135"/>
    <s v="CUS-1020"/>
    <s v="Shweta Tiwari"/>
    <s v="Ahmedabad"/>
    <x v="6"/>
    <x v="3"/>
    <x v="19"/>
    <x v="4"/>
    <n v="1700.5"/>
    <n v="1"/>
    <n v="322.88"/>
    <x v="4"/>
    <x v="1"/>
  </r>
  <r>
    <s v="IND-2023-1739"/>
    <x v="311"/>
    <s v="CUS-1007"/>
    <s v="Vikram Malhotra"/>
    <s v="Chennai"/>
    <x v="2"/>
    <x v="0"/>
    <x v="18"/>
    <x v="1"/>
    <n v="3588"/>
    <n v="3"/>
    <n v="377.25"/>
    <x v="0"/>
    <x v="1"/>
  </r>
  <r>
    <s v="IND-2023-1740"/>
    <x v="203"/>
    <s v="CUS-1003"/>
    <s v="Rahul Verma"/>
    <s v="Chandigarh"/>
    <x v="4"/>
    <x v="2"/>
    <x v="18"/>
    <x v="1"/>
    <n v="5382"/>
    <n v="4"/>
    <n v="951.5"/>
    <x v="0"/>
    <x v="4"/>
  </r>
  <r>
    <s v="IND-2023-1741"/>
    <x v="285"/>
    <s v="CUS-1003"/>
    <s v="Rahul Verma"/>
    <s v="Indore"/>
    <x v="11"/>
    <x v="3"/>
    <x v="31"/>
    <x v="0"/>
    <n v="20899.05"/>
    <n v="1"/>
    <n v="1575.04"/>
    <x v="3"/>
    <x v="1"/>
  </r>
  <r>
    <s v="IND-2023-1742"/>
    <x v="312"/>
    <s v="CUS-1010"/>
    <s v="Neha Singh"/>
    <s v="Chandigarh"/>
    <x v="4"/>
    <x v="2"/>
    <x v="2"/>
    <x v="2"/>
    <n v="499"/>
    <n v="1"/>
    <n v="160"/>
    <x v="0"/>
    <x v="1"/>
  </r>
  <r>
    <s v="IND-2023-1743"/>
    <x v="77"/>
    <s v="CUS-1010"/>
    <s v="Neha Singh"/>
    <s v="Pune"/>
    <x v="5"/>
    <x v="3"/>
    <x v="12"/>
    <x v="3"/>
    <n v="11874.05"/>
    <n v="1"/>
    <n v="-1918.71"/>
    <x v="3"/>
    <x v="1"/>
  </r>
  <r>
    <s v="IND-2023-1744"/>
    <x v="46"/>
    <s v="CUS-1011"/>
    <s v="Aditya Joshi"/>
    <s v="Chennai"/>
    <x v="2"/>
    <x v="0"/>
    <x v="18"/>
    <x v="1"/>
    <n v="1495"/>
    <n v="1"/>
    <n v="350"/>
    <x v="1"/>
    <x v="1"/>
  </r>
  <r>
    <s v="IND-2023-1745"/>
    <x v="112"/>
    <s v="CUS-1015"/>
    <s v="Karan Kapoor"/>
    <s v="Ahmedabad"/>
    <x v="6"/>
    <x v="3"/>
    <x v="9"/>
    <x v="0"/>
    <n v="3598"/>
    <n v="2"/>
    <n v="760"/>
    <x v="1"/>
    <x v="2"/>
  </r>
  <r>
    <s v="IND-2023-1746"/>
    <x v="193"/>
    <s v="CUS-1017"/>
    <s v="Deepak Chopra"/>
    <s v="Bhubaneswar"/>
    <x v="7"/>
    <x v="1"/>
    <x v="11"/>
    <x v="0"/>
    <n v="2277.15"/>
    <n v="3"/>
    <n v="660.11"/>
    <x v="0"/>
    <x v="1"/>
  </r>
  <r>
    <s v="IND-2023-1747"/>
    <x v="313"/>
    <s v="CUS-1002"/>
    <s v="Priya Patel"/>
    <s v="Kochi"/>
    <x v="9"/>
    <x v="0"/>
    <x v="26"/>
    <x v="2"/>
    <n v="945"/>
    <n v="2"/>
    <n v="271.25"/>
    <x v="1"/>
    <x v="1"/>
  </r>
  <r>
    <s v="IND-2023-1748"/>
    <x v="249"/>
    <s v="CUS-1007"/>
    <s v="Vikram Malhotra"/>
    <s v="Ahmedabad"/>
    <x v="6"/>
    <x v="3"/>
    <x v="8"/>
    <x v="1"/>
    <n v="167960"/>
    <n v="4"/>
    <n v="18000"/>
    <x v="4"/>
    <x v="1"/>
  </r>
  <r>
    <s v="IND-2023-1749"/>
    <x v="314"/>
    <s v="CUS-1013"/>
    <s v="Amit Mishra"/>
    <s v="Lucknow"/>
    <x v="10"/>
    <x v="2"/>
    <x v="31"/>
    <x v="0"/>
    <n v="43998"/>
    <n v="2"/>
    <n v="4800"/>
    <x v="0"/>
    <x v="1"/>
  </r>
  <r>
    <s v="IND-2023-1750"/>
    <x v="185"/>
    <s v="CUS-1021"/>
    <s v="Arjun Reddy"/>
    <s v="Delhi"/>
    <x v="3"/>
    <x v="2"/>
    <x v="30"/>
    <x v="2"/>
    <n v="1557.6"/>
    <n v="3"/>
    <n v="367.95"/>
    <x v="1"/>
    <x v="1"/>
  </r>
  <r>
    <s v="IND-2023-1751"/>
    <x v="269"/>
    <s v="CUS-1012"/>
    <s v="Kavita Rao"/>
    <s v="Indore"/>
    <x v="11"/>
    <x v="3"/>
    <x v="12"/>
    <x v="3"/>
    <n v="37497"/>
    <n v="3"/>
    <n v="-4350"/>
    <x v="3"/>
    <x v="1"/>
  </r>
  <r>
    <s v="IND-2023-1752"/>
    <x v="223"/>
    <s v="CUS-1012"/>
    <s v="Kavita Rao"/>
    <s v="Jaipur"/>
    <x v="12"/>
    <x v="2"/>
    <x v="30"/>
    <x v="2"/>
    <n v="1298"/>
    <n v="2"/>
    <n v="440"/>
    <x v="0"/>
    <x v="2"/>
  </r>
  <r>
    <s v="IND-2023-1753"/>
    <x v="236"/>
    <s v="CUS-1003"/>
    <s v="Rahul Verma"/>
    <s v="Kolkata"/>
    <x v="13"/>
    <x v="1"/>
    <x v="10"/>
    <x v="4"/>
    <n v="2124.15"/>
    <n v="1"/>
    <n v="368.86"/>
    <x v="0"/>
    <x v="4"/>
  </r>
  <r>
    <s v="IND-2023-1754"/>
    <x v="293"/>
    <s v="CUS-1021"/>
    <s v="Arjun Reddy"/>
    <s v="Chandigarh"/>
    <x v="4"/>
    <x v="2"/>
    <x v="4"/>
    <x v="1"/>
    <n v="17098.099999999999"/>
    <n v="2"/>
    <n v="1725.07"/>
    <x v="1"/>
    <x v="1"/>
  </r>
  <r>
    <s v="IND-2023-1755"/>
    <x v="41"/>
    <s v="CUS-1017"/>
    <s v="Deepak Chopra"/>
    <s v="Ahmedabad"/>
    <x v="6"/>
    <x v="3"/>
    <x v="31"/>
    <x v="0"/>
    <n v="65997"/>
    <n v="3"/>
    <n v="7200"/>
    <x v="0"/>
    <x v="1"/>
  </r>
  <r>
    <s v="IND-2023-1756"/>
    <x v="232"/>
    <s v="CUS-1011"/>
    <s v="Aditya Joshi"/>
    <s v="Chandigarh"/>
    <x v="4"/>
    <x v="2"/>
    <x v="2"/>
    <x v="2"/>
    <n v="1896.2"/>
    <n v="4"/>
    <n v="565.15"/>
    <x v="3"/>
    <x v="1"/>
  </r>
  <r>
    <s v="IND-2023-1757"/>
    <x v="119"/>
    <s v="CUS-1015"/>
    <s v="Karan Kapoor"/>
    <s v="Delhi"/>
    <x v="3"/>
    <x v="2"/>
    <x v="8"/>
    <x v="1"/>
    <n v="39890.5"/>
    <n v="1"/>
    <n v="2925.38"/>
    <x v="3"/>
    <x v="2"/>
  </r>
  <r>
    <s v="IND-2023-1758"/>
    <x v="58"/>
    <s v="CUS-1002"/>
    <s v="Priya Patel"/>
    <s v="Pune"/>
    <x v="5"/>
    <x v="3"/>
    <x v="8"/>
    <x v="1"/>
    <n v="119671.5"/>
    <n v="3"/>
    <n v="8776.1200000000008"/>
    <x v="2"/>
    <x v="1"/>
  </r>
  <r>
    <s v="IND-2023-1759"/>
    <x v="315"/>
    <s v="CUS-1018"/>
    <s v="Divya Pillai"/>
    <s v="Patna"/>
    <x v="1"/>
    <x v="1"/>
    <x v="13"/>
    <x v="1"/>
    <n v="104481"/>
    <n v="2"/>
    <n v="7475.75"/>
    <x v="1"/>
    <x v="1"/>
  </r>
  <r>
    <s v="IND-2023-1760"/>
    <x v="220"/>
    <s v="CUS-1014"/>
    <s v="Sunita Das"/>
    <s v="Chennai"/>
    <x v="2"/>
    <x v="0"/>
    <x v="16"/>
    <x v="4"/>
    <n v="4598"/>
    <n v="2"/>
    <n v="-360"/>
    <x v="0"/>
    <x v="1"/>
  </r>
  <r>
    <s v="IND-2023-1761"/>
    <x v="209"/>
    <s v="CUS-1025"/>
    <s v="Siddharth Sen"/>
    <s v="Kolkata"/>
    <x v="13"/>
    <x v="1"/>
    <x v="11"/>
    <x v="0"/>
    <n v="1438.2"/>
    <n v="2"/>
    <n v="380.15"/>
    <x v="0"/>
    <x v="1"/>
  </r>
  <r>
    <s v="IND-2023-1762"/>
    <x v="36"/>
    <s v="CUS-1004"/>
    <s v="Ananya Iyer"/>
    <s v="Bengaluru"/>
    <x v="0"/>
    <x v="0"/>
    <x v="22"/>
    <x v="4"/>
    <n v="3690.75"/>
    <n v="3"/>
    <n v="784.31"/>
    <x v="0"/>
    <x v="1"/>
  </r>
  <r>
    <s v="IND-2023-1763"/>
    <x v="278"/>
    <s v="CUS-1002"/>
    <s v="Priya Patel"/>
    <s v="Chandigarh"/>
    <x v="4"/>
    <x v="2"/>
    <x v="0"/>
    <x v="0"/>
    <n v="3597"/>
    <n v="3"/>
    <n v="0"/>
    <x v="0"/>
    <x v="0"/>
  </r>
  <r>
    <s v="IND-2023-1764"/>
    <x v="102"/>
    <s v="CUS-1007"/>
    <s v="Vikram Malhotra"/>
    <s v="Lucknow"/>
    <x v="10"/>
    <x v="2"/>
    <x v="6"/>
    <x v="2"/>
    <n v="2496"/>
    <n v="4"/>
    <n v="492"/>
    <x v="1"/>
    <x v="1"/>
  </r>
  <r>
    <s v="IND-2023-1765"/>
    <x v="217"/>
    <s v="CUS-1017"/>
    <s v="Deepak Chopra"/>
    <s v="Pune"/>
    <x v="5"/>
    <x v="3"/>
    <x v="31"/>
    <x v="0"/>
    <n v="83596.2"/>
    <n v="4"/>
    <n v="6300.15"/>
    <x v="0"/>
    <x v="1"/>
  </r>
  <r>
    <s v="IND-2023-1766"/>
    <x v="118"/>
    <s v="CUS-1024"/>
    <s v="Meera Nambiar"/>
    <s v="Jaipur"/>
    <x v="12"/>
    <x v="2"/>
    <x v="20"/>
    <x v="3"/>
    <n v="10236.799999999999"/>
    <n v="4"/>
    <n v="280.60000000000002"/>
    <x v="4"/>
    <x v="1"/>
  </r>
  <r>
    <s v="IND-2023-1767"/>
    <x v="255"/>
    <s v="CUS-1023"/>
    <s v="Gaurav Bansal"/>
    <s v="Ahmedabad"/>
    <x v="6"/>
    <x v="3"/>
    <x v="24"/>
    <x v="3"/>
    <n v="7738.2"/>
    <n v="2"/>
    <n v="795.15"/>
    <x v="0"/>
    <x v="1"/>
  </r>
  <r>
    <s v="IND-2023-1768"/>
    <x v="49"/>
    <s v="CUS-1010"/>
    <s v="Neha Singh"/>
    <s v="Kolkata"/>
    <x v="13"/>
    <x v="1"/>
    <x v="26"/>
    <x v="2"/>
    <n v="1575"/>
    <n v="3"/>
    <n v="525"/>
    <x v="4"/>
    <x v="1"/>
  </r>
  <r>
    <s v="IND-2023-1769"/>
    <x v="316"/>
    <s v="CUS-1017"/>
    <s v="Deepak Chopra"/>
    <s v="Lucknow"/>
    <x v="10"/>
    <x v="2"/>
    <x v="15"/>
    <x v="4"/>
    <n v="3057.45"/>
    <n v="3"/>
    <n v="465.34"/>
    <x v="0"/>
    <x v="1"/>
  </r>
  <r>
    <s v="IND-2023-1770"/>
    <x v="317"/>
    <s v="CUS-1002"/>
    <s v="Priya Patel"/>
    <s v="Delhi"/>
    <x v="3"/>
    <x v="2"/>
    <x v="9"/>
    <x v="0"/>
    <n v="5397"/>
    <n v="3"/>
    <n v="1140"/>
    <x v="4"/>
    <x v="1"/>
  </r>
  <r>
    <s v="IND-2023-1771"/>
    <x v="127"/>
    <s v="CUS-1005"/>
    <s v="Rohan Gupta"/>
    <s v="Lucknow"/>
    <x v="10"/>
    <x v="2"/>
    <x v="2"/>
    <x v="2"/>
    <n v="848.3"/>
    <n v="2"/>
    <n v="207.73"/>
    <x v="3"/>
    <x v="1"/>
  </r>
  <r>
    <s v="IND-2023-1772"/>
    <x v="208"/>
    <s v="CUS-1016"/>
    <s v="Ritu Mehta"/>
    <s v="Kochi"/>
    <x v="9"/>
    <x v="0"/>
    <x v="10"/>
    <x v="4"/>
    <n v="7497"/>
    <n v="3"/>
    <n v="1950"/>
    <x v="3"/>
    <x v="1"/>
  </r>
  <r>
    <s v="IND-2023-1773"/>
    <x v="86"/>
    <s v="CUS-1003"/>
    <s v="Rahul Verma"/>
    <s v="Patna"/>
    <x v="1"/>
    <x v="1"/>
    <x v="8"/>
    <x v="1"/>
    <n v="35691.5"/>
    <n v="1"/>
    <n v="0"/>
    <x v="1"/>
    <x v="0"/>
  </r>
  <r>
    <s v="IND-2023-1774"/>
    <x v="145"/>
    <s v="CUS-1005"/>
    <s v="Rohan Gupta"/>
    <s v="Mumbai"/>
    <x v="5"/>
    <x v="3"/>
    <x v="15"/>
    <x v="4"/>
    <n v="1918.4"/>
    <n v="2"/>
    <n v="220.3"/>
    <x v="4"/>
    <x v="1"/>
  </r>
  <r>
    <s v="IND-2023-1775"/>
    <x v="95"/>
    <s v="CUS-1002"/>
    <s v="Priya Patel"/>
    <s v="Pune"/>
    <x v="5"/>
    <x v="3"/>
    <x v="14"/>
    <x v="3"/>
    <n v="1798"/>
    <n v="2"/>
    <n v="-269.7"/>
    <x v="1"/>
    <x v="3"/>
  </r>
  <r>
    <s v="IND-2023-1776"/>
    <x v="132"/>
    <s v="CUS-1006"/>
    <s v="Sneha Mukherjee"/>
    <s v="Mumbai"/>
    <x v="5"/>
    <x v="3"/>
    <x v="13"/>
    <x v="1"/>
    <n v="87984"/>
    <n v="2"/>
    <n v="0"/>
    <x v="1"/>
    <x v="0"/>
  </r>
  <r>
    <s v="IND-2023-1777"/>
    <x v="107"/>
    <s v="CUS-1015"/>
    <s v="Karan Kapoor"/>
    <s v="Bengaluru"/>
    <x v="0"/>
    <x v="0"/>
    <x v="2"/>
    <x v="2"/>
    <n v="948.1"/>
    <n v="2"/>
    <n v="282.57"/>
    <x v="2"/>
    <x v="1"/>
  </r>
  <r>
    <s v="IND-2023-1778"/>
    <x v="318"/>
    <s v="CUS-1008"/>
    <s v="Pooja Nair"/>
    <s v="Kochi"/>
    <x v="9"/>
    <x v="0"/>
    <x v="24"/>
    <x v="3"/>
    <n v="4299"/>
    <n v="1"/>
    <n v="720"/>
    <x v="0"/>
    <x v="4"/>
  </r>
  <r>
    <s v="IND-2023-1779"/>
    <x v="307"/>
    <s v="CUS-1020"/>
    <s v="Shweta Tiwari"/>
    <s v="Chandigarh"/>
    <x v="4"/>
    <x v="2"/>
    <x v="24"/>
    <x v="3"/>
    <n v="14616.6"/>
    <n v="4"/>
    <n v="945.45"/>
    <x v="0"/>
    <x v="1"/>
  </r>
  <r>
    <s v="IND-2023-1780"/>
    <x v="53"/>
    <s v="CUS-1018"/>
    <s v="Divya Pillai"/>
    <s v="Patna"/>
    <x v="1"/>
    <x v="1"/>
    <x v="2"/>
    <x v="2"/>
    <n v="399.2"/>
    <n v="1"/>
    <n v="85.15"/>
    <x v="1"/>
    <x v="1"/>
  </r>
  <r>
    <s v="IND-2023-1781"/>
    <x v="84"/>
    <s v="CUS-1016"/>
    <s v="Ritu Mehta"/>
    <s v="Kolkata"/>
    <x v="13"/>
    <x v="1"/>
    <x v="8"/>
    <x v="1"/>
    <n v="167960"/>
    <n v="4"/>
    <n v="0"/>
    <x v="0"/>
    <x v="0"/>
  </r>
  <r>
    <s v="IND-2023-1782"/>
    <x v="319"/>
    <s v="CUS-1013"/>
    <s v="Amit Mishra"/>
    <s v="Jaipur"/>
    <x v="12"/>
    <x v="2"/>
    <x v="7"/>
    <x v="1"/>
    <n v="77980"/>
    <n v="2"/>
    <n v="8200"/>
    <x v="0"/>
    <x v="2"/>
  </r>
  <r>
    <s v="IND-2023-1783"/>
    <x v="320"/>
    <s v="CUS-1015"/>
    <s v="Karan Kapoor"/>
    <s v="Chandigarh"/>
    <x v="4"/>
    <x v="2"/>
    <x v="23"/>
    <x v="2"/>
    <n v="2698.2"/>
    <n v="2"/>
    <n v="495.15"/>
    <x v="0"/>
    <x v="1"/>
  </r>
  <r>
    <s v="IND-2023-1784"/>
    <x v="241"/>
    <s v="CUS-1024"/>
    <s v="Meera Nambiar"/>
    <s v="Delhi"/>
    <x v="3"/>
    <x v="2"/>
    <x v="26"/>
    <x v="2"/>
    <n v="997.5"/>
    <n v="2"/>
    <n v="310.62"/>
    <x v="3"/>
    <x v="2"/>
  </r>
  <r>
    <s v="IND-2023-1785"/>
    <x v="307"/>
    <s v="CUS-1014"/>
    <s v="Sunita Das"/>
    <s v="Jaipur"/>
    <x v="12"/>
    <x v="2"/>
    <x v="4"/>
    <x v="1"/>
    <n v="15298.3"/>
    <n v="2"/>
    <n v="375.23"/>
    <x v="0"/>
    <x v="1"/>
  </r>
  <r>
    <s v="IND-2023-1786"/>
    <x v="62"/>
    <s v="CUS-1014"/>
    <s v="Sunita Das"/>
    <s v="Kochi"/>
    <x v="9"/>
    <x v="0"/>
    <x v="31"/>
    <x v="0"/>
    <n v="43998"/>
    <n v="2"/>
    <n v="4800"/>
    <x v="2"/>
    <x v="1"/>
  </r>
  <r>
    <s v="IND-2023-1787"/>
    <x v="282"/>
    <s v="CUS-1003"/>
    <s v="Rahul Verma"/>
    <s v="Patna"/>
    <x v="1"/>
    <x v="1"/>
    <x v="19"/>
    <x v="4"/>
    <n v="4564.5"/>
    <n v="3"/>
    <n v="565.88"/>
    <x v="3"/>
    <x v="1"/>
  </r>
  <r>
    <s v="IND-2023-1788"/>
    <x v="124"/>
    <s v="CUS-1025"/>
    <s v="Siddharth Sen"/>
    <s v="Pune"/>
    <x v="5"/>
    <x v="3"/>
    <x v="0"/>
    <x v="0"/>
    <n v="1918.4"/>
    <n v="2"/>
    <n v="160.30000000000001"/>
    <x v="0"/>
    <x v="2"/>
  </r>
  <r>
    <s v="IND-2023-1789"/>
    <x v="101"/>
    <s v="CUS-1015"/>
    <s v="Karan Kapoor"/>
    <s v="Jaipur"/>
    <x v="12"/>
    <x v="2"/>
    <x v="26"/>
    <x v="2"/>
    <n v="525"/>
    <n v="1"/>
    <n v="175"/>
    <x v="4"/>
    <x v="1"/>
  </r>
  <r>
    <s v="IND-2023-1790"/>
    <x v="94"/>
    <s v="CUS-1020"/>
    <s v="Shweta Tiwari"/>
    <s v="Kochi"/>
    <x v="9"/>
    <x v="0"/>
    <x v="9"/>
    <x v="0"/>
    <n v="5397"/>
    <n v="3"/>
    <n v="1140"/>
    <x v="0"/>
    <x v="1"/>
  </r>
  <r>
    <s v="IND-2023-1791"/>
    <x v="321"/>
    <s v="CUS-1005"/>
    <s v="Rohan Gupta"/>
    <s v="Delhi"/>
    <x v="3"/>
    <x v="2"/>
    <x v="11"/>
    <x v="0"/>
    <n v="639.20000000000005"/>
    <n v="1"/>
    <n v="130.15"/>
    <x v="4"/>
    <x v="1"/>
  </r>
  <r>
    <s v="IND-2023-1792"/>
    <x v="190"/>
    <s v="CUS-1008"/>
    <s v="Pooja Nair"/>
    <s v="Mumbai"/>
    <x v="5"/>
    <x v="3"/>
    <x v="22"/>
    <x v="4"/>
    <n v="3885"/>
    <n v="3"/>
    <n v="930"/>
    <x v="3"/>
    <x v="4"/>
  </r>
  <r>
    <s v="IND-2023-1793"/>
    <x v="97"/>
    <s v="CUS-1002"/>
    <s v="Priya Patel"/>
    <s v="Kolkata"/>
    <x v="13"/>
    <x v="1"/>
    <x v="6"/>
    <x v="2"/>
    <n v="2340"/>
    <n v="3"/>
    <n v="720"/>
    <x v="4"/>
    <x v="1"/>
  </r>
  <r>
    <s v="IND-2023-1794"/>
    <x v="158"/>
    <s v="CUS-1025"/>
    <s v="Siddharth Sen"/>
    <s v="Ahmedabad"/>
    <x v="6"/>
    <x v="3"/>
    <x v="28"/>
    <x v="0"/>
    <n v="165747.45000000001"/>
    <n v="3"/>
    <n v="-337.16"/>
    <x v="0"/>
    <x v="1"/>
  </r>
  <r>
    <s v="IND-2023-1795"/>
    <x v="138"/>
    <s v="CUS-1007"/>
    <s v="Vikram Malhotra"/>
    <s v="Kochi"/>
    <x v="9"/>
    <x v="0"/>
    <x v="8"/>
    <x v="1"/>
    <n v="142766"/>
    <n v="4"/>
    <n v="-895.5"/>
    <x v="4"/>
    <x v="1"/>
  </r>
  <r>
    <s v="IND-2023-1796"/>
    <x v="122"/>
    <s v="CUS-1013"/>
    <s v="Amit Mishra"/>
    <s v="Chennai"/>
    <x v="2"/>
    <x v="0"/>
    <x v="22"/>
    <x v="4"/>
    <n v="2072"/>
    <n v="2"/>
    <n v="-310.8"/>
    <x v="4"/>
    <x v="3"/>
  </r>
  <r>
    <s v="IND-2023-1797"/>
    <x v="288"/>
    <s v="CUS-1012"/>
    <s v="Kavita Rao"/>
    <s v="Indore"/>
    <x v="11"/>
    <x v="3"/>
    <x v="16"/>
    <x v="4"/>
    <n v="6897"/>
    <n v="3"/>
    <n v="-540"/>
    <x v="3"/>
    <x v="1"/>
  </r>
  <r>
    <s v="IND-2023-1798"/>
    <x v="56"/>
    <s v="CUS-1025"/>
    <s v="Siddharth Sen"/>
    <s v="Bhubaneswar"/>
    <x v="7"/>
    <x v="1"/>
    <x v="25"/>
    <x v="4"/>
    <n v="1499"/>
    <n v="1"/>
    <n v="380"/>
    <x v="0"/>
    <x v="1"/>
  </r>
  <r>
    <s v="IND-2023-1799"/>
    <x v="322"/>
    <s v="CUS-1021"/>
    <s v="Arjun Reddy"/>
    <s v="Hyderabad"/>
    <x v="8"/>
    <x v="0"/>
    <x v="7"/>
    <x v="1"/>
    <n v="124768"/>
    <n v="4"/>
    <n v="-6994"/>
    <x v="0"/>
    <x v="2"/>
  </r>
  <r>
    <s v="IND-2023-1800"/>
    <x v="299"/>
    <s v="CUS-1011"/>
    <s v="Aditya Joshi"/>
    <s v="Chandigarh"/>
    <x v="4"/>
    <x v="2"/>
    <x v="16"/>
    <x v="4"/>
    <n v="4598"/>
    <n v="2"/>
    <n v="-360"/>
    <x v="3"/>
    <x v="4"/>
  </r>
  <r>
    <s v="IND-2023-1801"/>
    <x v="238"/>
    <s v="CUS-1016"/>
    <s v="Ritu Mehta"/>
    <s v="Kolkata"/>
    <x v="13"/>
    <x v="1"/>
    <x v="17"/>
    <x v="0"/>
    <n v="31999.200000000001"/>
    <n v="1"/>
    <n v="0"/>
    <x v="0"/>
    <x v="0"/>
  </r>
  <r>
    <s v="IND-2023-1802"/>
    <x v="81"/>
    <s v="CUS-1019"/>
    <s v="Manish Agarwal"/>
    <s v="Chennai"/>
    <x v="2"/>
    <x v="0"/>
    <x v="6"/>
    <x v="2"/>
    <n v="741"/>
    <n v="1"/>
    <n v="210.75"/>
    <x v="0"/>
    <x v="1"/>
  </r>
  <r>
    <s v="IND-2023-1803"/>
    <x v="169"/>
    <s v="CUS-1004"/>
    <s v="Ananya Iyer"/>
    <s v="Chennai"/>
    <x v="2"/>
    <x v="0"/>
    <x v="6"/>
    <x v="2"/>
    <n v="1248"/>
    <n v="2"/>
    <n v="246"/>
    <x v="0"/>
    <x v="1"/>
  </r>
  <r>
    <s v="IND-2023-1804"/>
    <x v="20"/>
    <s v="CUS-1008"/>
    <s v="Pooja Nair"/>
    <s v="Indore"/>
    <x v="11"/>
    <x v="3"/>
    <x v="27"/>
    <x v="3"/>
    <n v="6660"/>
    <n v="4"/>
    <n v="805"/>
    <x v="0"/>
    <x v="2"/>
  </r>
  <r>
    <s v="IND-2023-1805"/>
    <x v="214"/>
    <s v="CUS-1007"/>
    <s v="Vikram Malhotra"/>
    <s v="Pune"/>
    <x v="5"/>
    <x v="3"/>
    <x v="13"/>
    <x v="1"/>
    <n v="164970"/>
    <n v="3"/>
    <n v="17400"/>
    <x v="1"/>
    <x v="1"/>
  </r>
  <r>
    <s v="IND-2023-1806"/>
    <x v="148"/>
    <s v="CUS-1018"/>
    <s v="Divya Pillai"/>
    <s v="Indore"/>
    <x v="11"/>
    <x v="3"/>
    <x v="19"/>
    <x v="4"/>
    <n v="3401"/>
    <n v="2"/>
    <n v="645.75"/>
    <x v="4"/>
    <x v="1"/>
  </r>
  <r>
    <s v="IND-2023-1807"/>
    <x v="323"/>
    <s v="CUS-1019"/>
    <s v="Manish Agarwal"/>
    <s v="Lucknow"/>
    <x v="10"/>
    <x v="2"/>
    <x v="17"/>
    <x v="0"/>
    <n v="39999"/>
    <n v="1"/>
    <n v="-5999.85"/>
    <x v="1"/>
    <x v="3"/>
  </r>
  <r>
    <s v="IND-2023-1808"/>
    <x v="312"/>
    <s v="CUS-1022"/>
    <s v="Tanvi Deshmukh"/>
    <s v="Mumbai"/>
    <x v="5"/>
    <x v="3"/>
    <x v="26"/>
    <x v="2"/>
    <n v="945"/>
    <n v="2"/>
    <n v="271.25"/>
    <x v="0"/>
    <x v="1"/>
  </r>
  <r>
    <s v="IND-2023-1809"/>
    <x v="184"/>
    <s v="CUS-1005"/>
    <s v="Rohan Gupta"/>
    <s v="Kochi"/>
    <x v="9"/>
    <x v="0"/>
    <x v="13"/>
    <x v="1"/>
    <n v="87984"/>
    <n v="2"/>
    <n v="-4897"/>
    <x v="4"/>
    <x v="1"/>
  </r>
  <r>
    <s v="IND-2023-1810"/>
    <x v="201"/>
    <s v="CUS-1001"/>
    <s v="Aarav Sharma"/>
    <s v="Ahmedabad"/>
    <x v="6"/>
    <x v="3"/>
    <x v="0"/>
    <x v="0"/>
    <n v="1019.15"/>
    <n v="1"/>
    <n v="-152.87"/>
    <x v="1"/>
    <x v="3"/>
  </r>
  <r>
    <s v="IND-2023-1811"/>
    <x v="251"/>
    <s v="CUS-1017"/>
    <s v="Deepak Chopra"/>
    <s v="Hyderabad"/>
    <x v="8"/>
    <x v="0"/>
    <x v="7"/>
    <x v="1"/>
    <n v="116970"/>
    <n v="3"/>
    <n v="12300"/>
    <x v="1"/>
    <x v="1"/>
  </r>
  <r>
    <s v="IND-2023-1812"/>
    <x v="34"/>
    <s v="CUS-1009"/>
    <s v="Rajesh Kumar"/>
    <s v="Chennai"/>
    <x v="2"/>
    <x v="0"/>
    <x v="19"/>
    <x v="4"/>
    <n v="3043"/>
    <n v="2"/>
    <n v="377.25"/>
    <x v="1"/>
    <x v="1"/>
  </r>
  <r>
    <s v="IND-2023-1813"/>
    <x v="173"/>
    <s v="CUS-1012"/>
    <s v="Kavita Rao"/>
    <s v="Ahmedabad"/>
    <x v="6"/>
    <x v="3"/>
    <x v="16"/>
    <x v="4"/>
    <n v="4598"/>
    <n v="2"/>
    <n v="-360"/>
    <x v="3"/>
    <x v="1"/>
  </r>
  <r>
    <s v="IND-2023-1814"/>
    <x v="324"/>
    <s v="CUS-1024"/>
    <s v="Meera Nambiar"/>
    <s v="Bhubaneswar"/>
    <x v="7"/>
    <x v="1"/>
    <x v="28"/>
    <x v="0"/>
    <n v="165747.45000000001"/>
    <n v="3"/>
    <n v="-337.16"/>
    <x v="3"/>
    <x v="1"/>
  </r>
  <r>
    <s v="IND-2023-1815"/>
    <x v="21"/>
    <s v="CUS-1024"/>
    <s v="Meera Nambiar"/>
    <s v="Pune"/>
    <x v="5"/>
    <x v="3"/>
    <x v="28"/>
    <x v="0"/>
    <n v="194997"/>
    <n v="3"/>
    <n v="21600"/>
    <x v="3"/>
    <x v="1"/>
  </r>
  <r>
    <s v="IND-2023-1816"/>
    <x v="325"/>
    <s v="CUS-1024"/>
    <s v="Meera Nambiar"/>
    <s v="Kolkata"/>
    <x v="13"/>
    <x v="1"/>
    <x v="9"/>
    <x v="0"/>
    <n v="5127.1499999999996"/>
    <n v="3"/>
    <n v="937.61"/>
    <x v="2"/>
    <x v="1"/>
  </r>
  <r>
    <s v="IND-2023-1817"/>
    <x v="56"/>
    <s v="CUS-1005"/>
    <s v="Rohan Gupta"/>
    <s v="Jaipur"/>
    <x v="12"/>
    <x v="2"/>
    <x v="26"/>
    <x v="2"/>
    <n v="1680"/>
    <n v="4"/>
    <n v="385"/>
    <x v="0"/>
    <x v="2"/>
  </r>
  <r>
    <s v="IND-2023-1818"/>
    <x v="314"/>
    <s v="CUS-1020"/>
    <s v="Shweta Tiwari"/>
    <s v="Mumbai"/>
    <x v="5"/>
    <x v="3"/>
    <x v="30"/>
    <x v="2"/>
    <n v="1233.0999999999999"/>
    <n v="2"/>
    <n v="391.32"/>
    <x v="0"/>
    <x v="4"/>
  </r>
  <r>
    <s v="IND-2023-1819"/>
    <x v="322"/>
    <s v="CUS-1001"/>
    <s v="Aarav Sharma"/>
    <s v="Jaipur"/>
    <x v="12"/>
    <x v="2"/>
    <x v="6"/>
    <x v="2"/>
    <n v="1872"/>
    <n v="3"/>
    <n v="369"/>
    <x v="0"/>
    <x v="1"/>
  </r>
  <r>
    <s v="IND-2023-1820"/>
    <x v="95"/>
    <s v="CUS-1023"/>
    <s v="Gaurav Bansal"/>
    <s v="Chandigarh"/>
    <x v="4"/>
    <x v="2"/>
    <x v="3"/>
    <x v="0"/>
    <n v="4156.8"/>
    <n v="4"/>
    <n v="-623.52"/>
    <x v="3"/>
    <x v="3"/>
  </r>
  <r>
    <s v="IND-2023-1821"/>
    <x v="103"/>
    <s v="CUS-1018"/>
    <s v="Divya Pillai"/>
    <s v="Pune"/>
    <x v="5"/>
    <x v="3"/>
    <x v="7"/>
    <x v="1"/>
    <n v="33141.5"/>
    <n v="1"/>
    <n v="-286.38"/>
    <x v="4"/>
    <x v="1"/>
  </r>
  <r>
    <s v="IND-2023-1822"/>
    <x v="258"/>
    <s v="CUS-1023"/>
    <s v="Gaurav Bansal"/>
    <s v="Mumbai"/>
    <x v="5"/>
    <x v="3"/>
    <x v="30"/>
    <x v="2"/>
    <n v="2336.4"/>
    <n v="4"/>
    <n v="0"/>
    <x v="1"/>
    <x v="0"/>
  </r>
  <r>
    <s v="IND-2023-1823"/>
    <x v="160"/>
    <s v="CUS-1013"/>
    <s v="Amit Mishra"/>
    <s v="Kochi"/>
    <x v="9"/>
    <x v="0"/>
    <x v="9"/>
    <x v="0"/>
    <n v="5756.8"/>
    <n v="4"/>
    <n v="-863.52"/>
    <x v="3"/>
    <x v="3"/>
  </r>
  <r>
    <s v="IND-2023-1824"/>
    <x v="286"/>
    <s v="CUS-1011"/>
    <s v="Aditya Joshi"/>
    <s v="Chandigarh"/>
    <x v="4"/>
    <x v="2"/>
    <x v="20"/>
    <x v="3"/>
    <n v="11516.4"/>
    <n v="4"/>
    <n v="1240.3"/>
    <x v="0"/>
    <x v="2"/>
  </r>
  <r>
    <s v="IND-2023-1825"/>
    <x v="231"/>
    <s v="CUS-1022"/>
    <s v="Tanvi Deshmukh"/>
    <s v="Kochi"/>
    <x v="9"/>
    <x v="0"/>
    <x v="19"/>
    <x v="4"/>
    <n v="6086"/>
    <n v="4"/>
    <n v="754.5"/>
    <x v="0"/>
    <x v="2"/>
  </r>
  <r>
    <s v="IND-2023-1826"/>
    <x v="222"/>
    <s v="CUS-1011"/>
    <s v="Aditya Joshi"/>
    <s v="Lucknow"/>
    <x v="10"/>
    <x v="2"/>
    <x v="13"/>
    <x v="1"/>
    <n v="49491"/>
    <n v="1"/>
    <n v="1675.75"/>
    <x v="0"/>
    <x v="1"/>
  </r>
  <r>
    <s v="IND-2023-1827"/>
    <x v="100"/>
    <s v="CUS-1013"/>
    <s v="Amit Mishra"/>
    <s v="Patna"/>
    <x v="1"/>
    <x v="1"/>
    <x v="12"/>
    <x v="3"/>
    <n v="49996"/>
    <n v="4"/>
    <n v="-5800"/>
    <x v="1"/>
    <x v="2"/>
  </r>
  <r>
    <s v="IND-2023-1828"/>
    <x v="167"/>
    <s v="CUS-1005"/>
    <s v="Rohan Gupta"/>
    <s v="Chennai"/>
    <x v="2"/>
    <x v="0"/>
    <x v="6"/>
    <x v="2"/>
    <n v="1404"/>
    <n v="2"/>
    <n v="363"/>
    <x v="4"/>
    <x v="1"/>
  </r>
  <r>
    <s v="IND-2023-1829"/>
    <x v="220"/>
    <s v="CUS-1019"/>
    <s v="Manish Agarwal"/>
    <s v="Kolkata"/>
    <x v="13"/>
    <x v="1"/>
    <x v="0"/>
    <x v="0"/>
    <n v="2038.3"/>
    <n v="2"/>
    <n v="250.23"/>
    <x v="0"/>
    <x v="1"/>
  </r>
  <r>
    <s v="IND-2023-1830"/>
    <x v="64"/>
    <s v="CUS-1003"/>
    <s v="Rahul Verma"/>
    <s v="Bengaluru"/>
    <x v="0"/>
    <x v="0"/>
    <x v="9"/>
    <x v="0"/>
    <n v="1439.2"/>
    <n v="1"/>
    <n v="110.15"/>
    <x v="0"/>
    <x v="4"/>
  </r>
  <r>
    <s v="IND-2023-1831"/>
    <x v="185"/>
    <s v="CUS-1011"/>
    <s v="Aditya Joshi"/>
    <s v="Chandigarh"/>
    <x v="4"/>
    <x v="2"/>
    <x v="25"/>
    <x v="4"/>
    <n v="5996"/>
    <n v="4"/>
    <n v="1520"/>
    <x v="0"/>
    <x v="1"/>
  </r>
  <r>
    <s v="IND-2023-1832"/>
    <x v="319"/>
    <s v="CUS-1021"/>
    <s v="Arjun Reddy"/>
    <s v="Bengaluru"/>
    <x v="0"/>
    <x v="0"/>
    <x v="19"/>
    <x v="4"/>
    <n v="5101.5"/>
    <n v="3"/>
    <n v="968.62"/>
    <x v="2"/>
    <x v="2"/>
  </r>
  <r>
    <s v="IND-2023-1833"/>
    <x v="301"/>
    <s v="CUS-1019"/>
    <s v="Manish Agarwal"/>
    <s v="Ahmedabad"/>
    <x v="6"/>
    <x v="3"/>
    <x v="22"/>
    <x v="4"/>
    <n v="3496.5"/>
    <n v="3"/>
    <n v="638.62"/>
    <x v="1"/>
    <x v="1"/>
  </r>
  <r>
    <s v="IND-2023-1834"/>
    <x v="70"/>
    <s v="CUS-1011"/>
    <s v="Aditya Joshi"/>
    <s v="Jaipur"/>
    <x v="12"/>
    <x v="2"/>
    <x v="16"/>
    <x v="4"/>
    <n v="2299"/>
    <n v="1"/>
    <n v="0"/>
    <x v="0"/>
    <x v="0"/>
  </r>
  <r>
    <s v="IND-2023-1835"/>
    <x v="24"/>
    <s v="CUS-1008"/>
    <s v="Pooja Nair"/>
    <s v="Indore"/>
    <x v="11"/>
    <x v="3"/>
    <x v="4"/>
    <x v="1"/>
    <n v="26997"/>
    <n v="3"/>
    <n v="3600"/>
    <x v="0"/>
    <x v="1"/>
  </r>
  <r>
    <s v="IND-2023-1836"/>
    <x v="151"/>
    <s v="CUS-1012"/>
    <s v="Kavita Rao"/>
    <s v="Mumbai"/>
    <x v="5"/>
    <x v="3"/>
    <x v="0"/>
    <x v="0"/>
    <n v="2877.6"/>
    <n v="3"/>
    <n v="240.45"/>
    <x v="3"/>
    <x v="4"/>
  </r>
  <r>
    <s v="IND-2023-1837"/>
    <x v="304"/>
    <s v="CUS-1017"/>
    <s v="Deepak Chopra"/>
    <s v="Indore"/>
    <x v="11"/>
    <x v="3"/>
    <x v="18"/>
    <x v="1"/>
    <n v="2840.5"/>
    <n v="2"/>
    <n v="587.88"/>
    <x v="4"/>
    <x v="4"/>
  </r>
  <r>
    <s v="IND-2023-1838"/>
    <x v="96"/>
    <s v="CUS-1023"/>
    <s v="Gaurav Bansal"/>
    <s v="Kolkata"/>
    <x v="13"/>
    <x v="1"/>
    <x v="11"/>
    <x v="0"/>
    <n v="1917.6"/>
    <n v="3"/>
    <n v="390.45"/>
    <x v="3"/>
    <x v="2"/>
  </r>
  <r>
    <s v="IND-2023-1839"/>
    <x v="66"/>
    <s v="CUS-1022"/>
    <s v="Tanvi Deshmukh"/>
    <s v="Bengaluru"/>
    <x v="0"/>
    <x v="0"/>
    <x v="9"/>
    <x v="0"/>
    <n v="1439.2"/>
    <n v="1"/>
    <n v="110.15"/>
    <x v="3"/>
    <x v="1"/>
  </r>
  <r>
    <s v="IND-2023-1840"/>
    <x v="19"/>
    <s v="CUS-1017"/>
    <s v="Deepak Chopra"/>
    <s v="Chennai"/>
    <x v="2"/>
    <x v="0"/>
    <x v="18"/>
    <x v="1"/>
    <n v="2990"/>
    <n v="2"/>
    <n v="700"/>
    <x v="1"/>
    <x v="1"/>
  </r>
  <r>
    <s v="IND-2023-1841"/>
    <x v="269"/>
    <s v="CUS-1015"/>
    <s v="Karan Kapoor"/>
    <s v="Delhi"/>
    <x v="3"/>
    <x v="2"/>
    <x v="28"/>
    <x v="0"/>
    <n v="175497.3"/>
    <n v="3"/>
    <n v="6975.22"/>
    <x v="4"/>
    <x v="1"/>
  </r>
  <r>
    <s v="IND-2023-1842"/>
    <x v="326"/>
    <s v="CUS-1025"/>
    <s v="Siddharth Sen"/>
    <s v="Lucknow"/>
    <x v="10"/>
    <x v="2"/>
    <x v="5"/>
    <x v="3"/>
    <n v="2409.75"/>
    <n v="3"/>
    <n v="311.06"/>
    <x v="1"/>
    <x v="1"/>
  </r>
  <r>
    <s v="IND-2023-1843"/>
    <x v="312"/>
    <s v="CUS-1001"/>
    <s v="Aarav Sharma"/>
    <s v="Hyderabad"/>
    <x v="8"/>
    <x v="0"/>
    <x v="31"/>
    <x v="0"/>
    <n v="43998"/>
    <n v="2"/>
    <n v="4800"/>
    <x v="3"/>
    <x v="1"/>
  </r>
  <r>
    <s v="IND-2023-1844"/>
    <x v="327"/>
    <s v="CUS-1004"/>
    <s v="Ananya Iyer"/>
    <s v="Bhubaneswar"/>
    <x v="7"/>
    <x v="1"/>
    <x v="25"/>
    <x v="4"/>
    <n v="5396.4"/>
    <n v="4"/>
    <n v="1070.3"/>
    <x v="0"/>
    <x v="1"/>
  </r>
  <r>
    <s v="IND-2023-1845"/>
    <x v="43"/>
    <s v="CUS-1008"/>
    <s v="Pooja Nair"/>
    <s v="Indore"/>
    <x v="11"/>
    <x v="3"/>
    <x v="23"/>
    <x v="2"/>
    <n v="2848.1"/>
    <n v="2"/>
    <n v="607.58000000000004"/>
    <x v="2"/>
    <x v="1"/>
  </r>
  <r>
    <s v="IND-2023-1846"/>
    <x v="92"/>
    <s v="CUS-1001"/>
    <s v="Aarav Sharma"/>
    <s v="Chennai"/>
    <x v="2"/>
    <x v="0"/>
    <x v="13"/>
    <x v="1"/>
    <n v="93483"/>
    <n v="2"/>
    <n v="-772.75"/>
    <x v="1"/>
    <x v="1"/>
  </r>
  <r>
    <s v="IND-2023-1847"/>
    <x v="328"/>
    <s v="CUS-1011"/>
    <s v="Aditya Joshi"/>
    <s v="Lucknow"/>
    <x v="10"/>
    <x v="2"/>
    <x v="8"/>
    <x v="1"/>
    <n v="71383"/>
    <n v="2"/>
    <n v="-447.75"/>
    <x v="0"/>
    <x v="1"/>
  </r>
  <r>
    <s v="IND-2023-1848"/>
    <x v="141"/>
    <s v="CUS-1019"/>
    <s v="Manish Agarwal"/>
    <s v="Patna"/>
    <x v="1"/>
    <x v="1"/>
    <x v="28"/>
    <x v="0"/>
    <n v="175497.3"/>
    <n v="3"/>
    <n v="6975.22"/>
    <x v="3"/>
    <x v="1"/>
  </r>
  <r>
    <s v="IND-2023-1849"/>
    <x v="143"/>
    <s v="CUS-1009"/>
    <s v="Rajesh Kumar"/>
    <s v="Patna"/>
    <x v="1"/>
    <x v="1"/>
    <x v="19"/>
    <x v="4"/>
    <n v="1521.5"/>
    <n v="1"/>
    <n v="188.62"/>
    <x v="3"/>
    <x v="1"/>
  </r>
  <r>
    <s v="IND-2023-1850"/>
    <x v="13"/>
    <s v="CUS-1006"/>
    <s v="Sneha Mukherjee"/>
    <s v="Bengaluru"/>
    <x v="0"/>
    <x v="0"/>
    <x v="18"/>
    <x v="1"/>
    <n v="1196"/>
    <n v="1"/>
    <n v="125.75"/>
    <x v="0"/>
    <x v="2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5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6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7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10405206-A241-4C58-9F2A-F5FEE2E60F82}" name="PivotTable1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30" rowHeaderCaption="Month">
  <location ref="A3:C16" firstHeaderRow="0" firstDataRow="1" firstDataCol="1"/>
  <pivotFields count="16">
    <pivotField showAll="0"/>
    <pivotField axis="axisRow" numFmtId="14" showAll="0">
      <items count="330">
        <item x="255"/>
        <item x="184"/>
        <item x="169"/>
        <item x="25"/>
        <item x="274"/>
        <item x="6"/>
        <item x="320"/>
        <item x="147"/>
        <item x="80"/>
        <item x="76"/>
        <item x="66"/>
        <item x="10"/>
        <item x="12"/>
        <item x="247"/>
        <item x="163"/>
        <item x="215"/>
        <item x="258"/>
        <item x="128"/>
        <item x="21"/>
        <item x="139"/>
        <item x="88"/>
        <item x="241"/>
        <item x="216"/>
        <item x="324"/>
        <item x="83"/>
        <item x="185"/>
        <item x="122"/>
        <item x="221"/>
        <item x="154"/>
        <item x="13"/>
        <item x="299"/>
        <item x="115"/>
        <item x="318"/>
        <item x="133"/>
        <item x="72"/>
        <item x="2"/>
        <item x="200"/>
        <item x="323"/>
        <item x="176"/>
        <item x="157"/>
        <item x="191"/>
        <item x="140"/>
        <item x="250"/>
        <item x="136"/>
        <item x="309"/>
        <item x="296"/>
        <item x="291"/>
        <item x="211"/>
        <item x="187"/>
        <item x="175"/>
        <item x="113"/>
        <item x="63"/>
        <item x="127"/>
        <item x="130"/>
        <item x="270"/>
        <item x="231"/>
        <item x="0"/>
        <item x="36"/>
        <item x="311"/>
        <item x="69"/>
        <item x="290"/>
        <item x="281"/>
        <item x="188"/>
        <item x="116"/>
        <item x="261"/>
        <item x="102"/>
        <item x="249"/>
        <item x="315"/>
        <item x="100"/>
        <item x="41"/>
        <item x="262"/>
        <item x="52"/>
        <item x="146"/>
        <item x="64"/>
        <item x="167"/>
        <item x="168"/>
        <item x="85"/>
        <item x="218"/>
        <item x="319"/>
        <item x="24"/>
        <item x="79"/>
        <item x="268"/>
        <item x="11"/>
        <item x="42"/>
        <item x="207"/>
        <item x="48"/>
        <item x="158"/>
        <item x="235"/>
        <item x="135"/>
        <item x="104"/>
        <item x="314"/>
        <item x="273"/>
        <item x="292"/>
        <item x="118"/>
        <item x="280"/>
        <item x="3"/>
        <item x="77"/>
        <item x="141"/>
        <item x="150"/>
        <item x="23"/>
        <item x="174"/>
        <item x="282"/>
        <item x="288"/>
        <item x="96"/>
        <item x="317"/>
        <item x="277"/>
        <item x="182"/>
        <item x="307"/>
        <item x="223"/>
        <item x="107"/>
        <item x="111"/>
        <item x="93"/>
        <item x="289"/>
        <item x="196"/>
        <item x="87"/>
        <item x="205"/>
        <item x="298"/>
        <item x="56"/>
        <item x="34"/>
        <item x="201"/>
        <item x="259"/>
        <item x="44"/>
        <item x="300"/>
        <item x="166"/>
        <item x="239"/>
        <item x="233"/>
        <item x="49"/>
        <item x="144"/>
        <item x="57"/>
        <item x="245"/>
        <item x="89"/>
        <item x="55"/>
        <item x="256"/>
        <item x="198"/>
        <item x="306"/>
        <item x="266"/>
        <item x="243"/>
        <item x="313"/>
        <item x="1"/>
        <item x="173"/>
        <item x="51"/>
        <item x="153"/>
        <item x="203"/>
        <item x="156"/>
        <item x="246"/>
        <item x="302"/>
        <item x="316"/>
        <item x="210"/>
        <item x="28"/>
        <item x="224"/>
        <item x="123"/>
        <item x="238"/>
        <item x="228"/>
        <item x="149"/>
        <item x="39"/>
        <item x="181"/>
        <item x="265"/>
        <item x="50"/>
        <item x="263"/>
        <item x="230"/>
        <item x="67"/>
        <item x="165"/>
        <item x="32"/>
        <item x="68"/>
        <item x="90"/>
        <item x="103"/>
        <item x="301"/>
        <item x="125"/>
        <item x="251"/>
        <item x="275"/>
        <item x="305"/>
        <item x="226"/>
        <item x="97"/>
        <item x="92"/>
        <item x="244"/>
        <item x="264"/>
        <item x="242"/>
        <item x="73"/>
        <item x="81"/>
        <item x="180"/>
        <item x="172"/>
        <item x="293"/>
        <item x="328"/>
        <item x="148"/>
        <item x="30"/>
        <item x="29"/>
        <item x="209"/>
        <item x="217"/>
        <item x="310"/>
        <item x="240"/>
        <item x="37"/>
        <item x="164"/>
        <item x="54"/>
        <item x="327"/>
        <item x="267"/>
        <item x="199"/>
        <item x="284"/>
        <item x="101"/>
        <item x="46"/>
        <item x="40"/>
        <item x="195"/>
        <item x="183"/>
        <item x="229"/>
        <item x="120"/>
        <item x="82"/>
        <item x="43"/>
        <item x="219"/>
        <item x="74"/>
        <item x="236"/>
        <item x="308"/>
        <item x="272"/>
        <item x="143"/>
        <item x="16"/>
        <item x="159"/>
        <item x="177"/>
        <item x="78"/>
        <item x="297"/>
        <item x="112"/>
        <item x="110"/>
        <item x="160"/>
        <item x="62"/>
        <item x="186"/>
        <item x="214"/>
        <item x="190"/>
        <item x="138"/>
        <item x="14"/>
        <item x="237"/>
        <item x="131"/>
        <item x="134"/>
        <item x="26"/>
        <item x="105"/>
        <item x="304"/>
        <item x="252"/>
        <item x="312"/>
        <item x="114"/>
        <item x="178"/>
        <item x="287"/>
        <item x="162"/>
        <item x="152"/>
        <item x="98"/>
        <item x="212"/>
        <item x="322"/>
        <item x="142"/>
        <item x="303"/>
        <item x="283"/>
        <item x="65"/>
        <item x="91"/>
        <item x="271"/>
        <item x="18"/>
        <item x="232"/>
        <item x="109"/>
        <item x="276"/>
        <item x="286"/>
        <item x="225"/>
        <item x="253"/>
        <item x="20"/>
        <item x="170"/>
        <item x="5"/>
        <item x="45"/>
        <item x="194"/>
        <item x="27"/>
        <item x="254"/>
        <item x="31"/>
        <item x="222"/>
        <item x="208"/>
        <item x="269"/>
        <item x="257"/>
        <item x="38"/>
        <item x="7"/>
        <item x="234"/>
        <item x="294"/>
        <item x="71"/>
        <item x="145"/>
        <item x="325"/>
        <item x="84"/>
        <item x="171"/>
        <item x="61"/>
        <item x="58"/>
        <item x="204"/>
        <item x="248"/>
        <item x="124"/>
        <item x="8"/>
        <item x="53"/>
        <item x="220"/>
        <item x="106"/>
        <item x="60"/>
        <item x="285"/>
        <item x="197"/>
        <item x="121"/>
        <item x="19"/>
        <item x="59"/>
        <item x="227"/>
        <item x="206"/>
        <item x="33"/>
        <item x="15"/>
        <item x="70"/>
        <item x="9"/>
        <item x="126"/>
        <item x="4"/>
        <item x="108"/>
        <item x="86"/>
        <item x="213"/>
        <item x="129"/>
        <item x="279"/>
        <item x="95"/>
        <item x="202"/>
        <item x="17"/>
        <item x="119"/>
        <item x="155"/>
        <item x="75"/>
        <item x="94"/>
        <item x="99"/>
        <item x="326"/>
        <item x="179"/>
        <item x="161"/>
        <item x="295"/>
        <item x="132"/>
        <item x="192"/>
        <item x="278"/>
        <item x="117"/>
        <item x="22"/>
        <item x="35"/>
        <item x="260"/>
        <item x="189"/>
        <item x="151"/>
        <item x="47"/>
        <item x="193"/>
        <item x="137"/>
        <item x="321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dataField="1" showAll="0"/>
    <pivotField showAll="0"/>
    <pivotField dataField="1" showAll="0"/>
    <pivotField showAll="0"/>
    <pivotField showAll="0"/>
    <pivotField axis="axisRow" showAll="0">
      <items count="369">
        <item sd="0" x="0"/>
        <item sd="0" x="1"/>
        <item sd="0" x="2"/>
        <item sd="0" x="3"/>
        <item sd="0" x="4"/>
        <item sd="0" x="5"/>
        <item sd="0" x="6"/>
        <item sd="0" x="7"/>
        <item sd="0" x="8"/>
        <item sd="0" x="9"/>
        <item sd="0" x="10"/>
        <item sd="0" x="11"/>
        <item sd="0" x="12"/>
        <item sd="0" x="13"/>
        <item sd="0" x="14"/>
        <item sd="0" x="15"/>
        <item sd="0" x="16"/>
        <item sd="0" x="17"/>
        <item sd="0" x="18"/>
        <item sd="0" x="19"/>
        <item sd="0" x="20"/>
        <item sd="0" x="21"/>
        <item sd="0" x="22"/>
        <item sd="0" x="23"/>
        <item sd="0" x="24"/>
        <item sd="0" x="25"/>
        <item sd="0" x="26"/>
        <item sd="0" x="27"/>
        <item sd="0" x="28"/>
        <item sd="0" x="29"/>
        <item sd="0" x="30"/>
        <item sd="0" x="31"/>
        <item sd="0" x="32"/>
        <item sd="0" x="33"/>
        <item sd="0" x="34"/>
        <item sd="0" x="35"/>
        <item sd="0" x="36"/>
        <item sd="0" x="37"/>
        <item sd="0" x="38"/>
        <item sd="0" x="39"/>
        <item sd="0" x="40"/>
        <item sd="0" x="41"/>
        <item sd="0" x="42"/>
        <item sd="0" x="43"/>
        <item sd="0" x="44"/>
        <item sd="0" x="45"/>
        <item sd="0" x="46"/>
        <item sd="0" x="47"/>
        <item sd="0" x="48"/>
        <item sd="0" x="49"/>
        <item sd="0" x="50"/>
        <item sd="0" x="51"/>
        <item sd="0" x="52"/>
        <item sd="0" x="53"/>
        <item sd="0" x="54"/>
        <item sd="0" x="55"/>
        <item sd="0" x="56"/>
        <item sd="0" x="57"/>
        <item sd="0" x="58"/>
        <item sd="0" x="59"/>
        <item sd="0" x="60"/>
        <item sd="0" x="61"/>
        <item sd="0" x="62"/>
        <item sd="0" x="63"/>
        <item sd="0" x="64"/>
        <item sd="0" x="65"/>
        <item sd="0" x="66"/>
        <item sd="0" x="67"/>
        <item sd="0" x="68"/>
        <item sd="0" x="69"/>
        <item sd="0" x="70"/>
        <item sd="0" x="71"/>
        <item sd="0" x="72"/>
        <item sd="0" x="73"/>
        <item sd="0" x="74"/>
        <item sd="0" x="75"/>
        <item sd="0" x="76"/>
        <item sd="0" x="77"/>
        <item sd="0" x="78"/>
        <item sd="0" x="79"/>
        <item sd="0" x="80"/>
        <item sd="0" x="81"/>
        <item sd="0" x="82"/>
        <item sd="0" x="83"/>
        <item sd="0" x="84"/>
        <item sd="0" x="85"/>
        <item sd="0" x="86"/>
        <item sd="0" x="87"/>
        <item sd="0" x="88"/>
        <item sd="0" x="89"/>
        <item sd="0" x="90"/>
        <item sd="0" x="91"/>
        <item sd="0" x="92"/>
        <item sd="0" x="93"/>
        <item sd="0" x="94"/>
        <item sd="0" x="95"/>
        <item sd="0" x="96"/>
        <item sd="0" x="97"/>
        <item sd="0" x="98"/>
        <item sd="0" x="99"/>
        <item sd="0" x="100"/>
        <item sd="0" x="101"/>
        <item sd="0" x="102"/>
        <item sd="0" x="103"/>
        <item sd="0" x="104"/>
        <item sd="0" x="105"/>
        <item sd="0" x="106"/>
        <item sd="0" x="107"/>
        <item sd="0" x="108"/>
        <item sd="0" x="109"/>
        <item sd="0" x="110"/>
        <item sd="0" x="111"/>
        <item sd="0" x="112"/>
        <item sd="0" x="113"/>
        <item sd="0" x="114"/>
        <item sd="0" x="115"/>
        <item sd="0" x="116"/>
        <item sd="0" x="117"/>
        <item sd="0" x="118"/>
        <item sd="0" x="119"/>
        <item sd="0" x="120"/>
        <item sd="0" x="121"/>
        <item sd="0" x="122"/>
        <item sd="0" x="123"/>
        <item sd="0" x="124"/>
        <item sd="0" x="125"/>
        <item sd="0" x="126"/>
        <item sd="0" x="127"/>
        <item sd="0" x="128"/>
        <item sd="0" x="129"/>
        <item sd="0" x="130"/>
        <item sd="0" x="131"/>
        <item sd="0" x="132"/>
        <item sd="0" x="133"/>
        <item sd="0" x="134"/>
        <item sd="0" x="135"/>
        <item sd="0" x="136"/>
        <item sd="0" x="137"/>
        <item sd="0" x="138"/>
        <item sd="0" x="139"/>
        <item sd="0" x="140"/>
        <item sd="0" x="141"/>
        <item sd="0" x="142"/>
        <item sd="0" x="143"/>
        <item sd="0" x="144"/>
        <item sd="0" x="145"/>
        <item sd="0" x="146"/>
        <item sd="0" x="147"/>
        <item sd="0" x="148"/>
        <item sd="0" x="149"/>
        <item sd="0" x="150"/>
        <item sd="0" x="151"/>
        <item sd="0" x="152"/>
        <item sd="0" x="153"/>
        <item sd="0" x="154"/>
        <item sd="0" x="155"/>
        <item sd="0" x="156"/>
        <item sd="0" x="157"/>
        <item sd="0" x="158"/>
        <item sd="0" x="159"/>
        <item sd="0" x="160"/>
        <item sd="0" x="161"/>
        <item sd="0" x="162"/>
        <item sd="0" x="163"/>
        <item sd="0" x="164"/>
        <item sd="0" x="165"/>
        <item sd="0" x="166"/>
        <item sd="0" x="167"/>
        <item sd="0" x="168"/>
        <item sd="0" x="169"/>
        <item sd="0" x="170"/>
        <item sd="0" x="171"/>
        <item sd="0" x="172"/>
        <item sd="0" x="173"/>
        <item sd="0" x="174"/>
        <item sd="0" x="175"/>
        <item sd="0" x="176"/>
        <item sd="0" x="177"/>
        <item sd="0" x="178"/>
        <item sd="0" x="179"/>
        <item sd="0" x="180"/>
        <item sd="0" x="181"/>
        <item sd="0" x="182"/>
        <item sd="0" x="183"/>
        <item sd="0" x="184"/>
        <item sd="0" x="185"/>
        <item sd="0" x="186"/>
        <item sd="0" x="187"/>
        <item sd="0" x="188"/>
        <item sd="0" x="189"/>
        <item sd="0" x="190"/>
        <item sd="0" x="191"/>
        <item sd="0" x="192"/>
        <item sd="0" x="193"/>
        <item sd="0" x="194"/>
        <item sd="0" x="195"/>
        <item sd="0" x="196"/>
        <item sd="0" x="197"/>
        <item sd="0" x="198"/>
        <item sd="0" x="199"/>
        <item sd="0" x="200"/>
        <item sd="0" x="201"/>
        <item sd="0" x="202"/>
        <item sd="0" x="203"/>
        <item sd="0" x="204"/>
        <item sd="0" x="205"/>
        <item sd="0" x="206"/>
        <item sd="0" x="207"/>
        <item sd="0" x="208"/>
        <item sd="0" x="209"/>
        <item sd="0" x="210"/>
        <item sd="0" x="211"/>
        <item sd="0" x="212"/>
        <item sd="0" x="213"/>
        <item sd="0" x="214"/>
        <item sd="0" x="215"/>
        <item sd="0" x="216"/>
        <item sd="0" x="217"/>
        <item sd="0" x="218"/>
        <item sd="0" x="219"/>
        <item sd="0" x="220"/>
        <item sd="0" x="221"/>
        <item sd="0" x="222"/>
        <item sd="0" x="223"/>
        <item sd="0" x="224"/>
        <item sd="0" x="225"/>
        <item sd="0" x="226"/>
        <item sd="0" x="227"/>
        <item sd="0" x="228"/>
        <item sd="0" x="229"/>
        <item sd="0" x="230"/>
        <item sd="0" x="231"/>
        <item sd="0" x="232"/>
        <item sd="0" x="233"/>
        <item sd="0" x="234"/>
        <item sd="0" x="235"/>
        <item sd="0" x="236"/>
        <item sd="0" x="237"/>
        <item sd="0" x="238"/>
        <item sd="0" x="239"/>
        <item sd="0" x="240"/>
        <item sd="0" x="241"/>
        <item sd="0" x="242"/>
        <item sd="0" x="243"/>
        <item sd="0" x="244"/>
        <item sd="0" x="245"/>
        <item sd="0" x="246"/>
        <item sd="0" x="247"/>
        <item sd="0" x="248"/>
        <item sd="0" x="249"/>
        <item sd="0" x="250"/>
        <item sd="0" x="251"/>
        <item sd="0" x="252"/>
        <item sd="0" x="253"/>
        <item sd="0" x="254"/>
        <item sd="0" x="255"/>
        <item sd="0" x="256"/>
        <item sd="0" x="257"/>
        <item sd="0" x="258"/>
        <item sd="0" x="259"/>
        <item sd="0" x="260"/>
        <item sd="0" x="261"/>
        <item sd="0" x="262"/>
        <item sd="0" x="263"/>
        <item sd="0" x="264"/>
        <item sd="0" x="265"/>
        <item sd="0" x="266"/>
        <item sd="0" x="267"/>
        <item sd="0" x="268"/>
        <item sd="0" x="269"/>
        <item sd="0" x="270"/>
        <item sd="0" x="271"/>
        <item sd="0" x="272"/>
        <item sd="0" x="273"/>
        <item sd="0" x="274"/>
        <item sd="0" x="275"/>
        <item sd="0" x="276"/>
        <item sd="0" x="277"/>
        <item sd="0" x="278"/>
        <item sd="0" x="279"/>
        <item sd="0" x="280"/>
        <item sd="0" x="281"/>
        <item sd="0" x="282"/>
        <item sd="0" x="283"/>
        <item sd="0" x="284"/>
        <item sd="0" x="285"/>
        <item sd="0" x="286"/>
        <item sd="0" x="287"/>
        <item sd="0" x="288"/>
        <item sd="0" x="289"/>
        <item sd="0" x="290"/>
        <item sd="0" x="291"/>
        <item sd="0" x="292"/>
        <item sd="0" x="293"/>
        <item sd="0" x="294"/>
        <item sd="0" x="295"/>
        <item sd="0" x="296"/>
        <item sd="0" x="297"/>
        <item sd="0" x="298"/>
        <item sd="0" x="299"/>
        <item sd="0" x="300"/>
        <item sd="0" x="301"/>
        <item sd="0" x="302"/>
        <item sd="0" x="303"/>
        <item sd="0" x="304"/>
        <item sd="0" x="305"/>
        <item sd="0" x="306"/>
        <item sd="0" x="307"/>
        <item sd="0" x="308"/>
        <item sd="0" x="309"/>
        <item sd="0" x="310"/>
        <item sd="0" x="311"/>
        <item sd="0" x="312"/>
        <item sd="0" x="313"/>
        <item sd="0" x="314"/>
        <item sd="0" x="315"/>
        <item sd="0" x="316"/>
        <item sd="0" x="317"/>
        <item sd="0" x="318"/>
        <item sd="0" x="319"/>
        <item sd="0" x="320"/>
        <item sd="0" x="321"/>
        <item sd="0" x="322"/>
        <item sd="0" x="323"/>
        <item sd="0" x="324"/>
        <item sd="0" x="325"/>
        <item sd="0" x="326"/>
        <item sd="0" x="327"/>
        <item sd="0" x="328"/>
        <item sd="0" x="329"/>
        <item sd="0" x="330"/>
        <item sd="0" x="331"/>
        <item sd="0" x="332"/>
        <item sd="0" x="333"/>
        <item sd="0" x="334"/>
        <item sd="0" x="335"/>
        <item sd="0" x="336"/>
        <item sd="0" x="337"/>
        <item sd="0" x="338"/>
        <item sd="0" x="339"/>
        <item sd="0" x="340"/>
        <item sd="0" x="341"/>
        <item sd="0" x="342"/>
        <item sd="0" x="343"/>
        <item sd="0" x="344"/>
        <item sd="0" x="345"/>
        <item sd="0" x="346"/>
        <item sd="0" x="347"/>
        <item sd="0" x="348"/>
        <item sd="0" x="349"/>
        <item sd="0" x="350"/>
        <item sd="0" x="351"/>
        <item sd="0" x="352"/>
        <item sd="0" x="353"/>
        <item sd="0" x="354"/>
        <item sd="0" x="355"/>
        <item sd="0" x="356"/>
        <item sd="0" x="357"/>
        <item sd="0" x="358"/>
        <item sd="0" x="359"/>
        <item sd="0" x="360"/>
        <item sd="0" x="361"/>
        <item sd="0" x="362"/>
        <item sd="0" x="363"/>
        <item sd="0" x="364"/>
        <item sd="0" x="365"/>
        <item sd="0" x="366"/>
        <item sd="0" x="367"/>
        <item t="default"/>
      </items>
    </pivotField>
    <pivotField axis="axisRow" showAll="0">
      <items count="15">
        <item sd="0" x="0"/>
        <item sd="0" x="1"/>
        <item sd="0" x="2"/>
        <item sd="0" x="3"/>
        <item sd="0" x="4"/>
        <item sd="0" x="5"/>
        <item sd="0" x="6"/>
        <item sd="0" x="7"/>
        <item sd="0" x="8"/>
        <item sd="0" x="9"/>
        <item sd="0" x="10"/>
        <item sd="0" x="11"/>
        <item sd="0" x="12"/>
        <item sd="0" x="13"/>
        <item t="default"/>
      </items>
    </pivotField>
  </pivotFields>
  <rowFields count="3">
    <field x="15"/>
    <field x="14"/>
    <field x="1"/>
  </rowFields>
  <rowItems count="13"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 t="grand">
      <x/>
    </i>
  </rowItems>
  <colFields count="1">
    <field x="-2"/>
  </colFields>
  <colItems count="2">
    <i>
      <x/>
    </i>
    <i i="1">
      <x v="1"/>
    </i>
  </colItems>
  <dataFields count="2">
    <dataField name="Sum of Sales" fld="9" baseField="0" baseItem="0" numFmtId="4"/>
    <dataField name="Sum of Profit" fld="11" baseField="0" baseItem="0" numFmtId="4"/>
  </dataFields>
  <formats count="2">
    <format dxfId="15">
      <pivotArea outline="0" collapsedLevelsAreSubtotals="1" fieldPosition="0">
        <references count="1">
          <reference field="4294967294" count="1" selected="0">
            <x v="0"/>
          </reference>
        </references>
      </pivotArea>
    </format>
    <format dxfId="14">
      <pivotArea outline="0" collapsedLevelsAreSubtotals="1" fieldPosition="0">
        <references count="1">
          <reference field="4294967294" count="1" selected="0">
            <x v="1"/>
          </reference>
        </references>
      </pivotArea>
    </format>
  </formats>
  <chartFormats count="10">
    <chartFormat chart="9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9" format="1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15" format="4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5" format="5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19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9" format="3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20" format="4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20" format="5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22" format="4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22" format="5" series="1">
      <pivotArea type="data" outline="0" fieldPosition="0">
        <references count="1">
          <reference field="4294967294" count="1" selected="0">
            <x v="1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70573F52-EC3D-45EF-B430-6C5899A39830}" name="PivotTable2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16" rowHeaderCaption="Category">
  <location ref="A3:C9" firstHeaderRow="0" firstDataRow="1" firstDataCol="1"/>
  <pivotFields count="16">
    <pivotField showAll="0"/>
    <pivotField numFmtId="14" showAll="0">
      <items count="330">
        <item x="255"/>
        <item x="184"/>
        <item x="169"/>
        <item x="25"/>
        <item x="274"/>
        <item x="6"/>
        <item x="320"/>
        <item x="147"/>
        <item x="80"/>
        <item x="76"/>
        <item x="66"/>
        <item x="10"/>
        <item x="12"/>
        <item x="247"/>
        <item x="163"/>
        <item x="215"/>
        <item x="258"/>
        <item x="128"/>
        <item x="21"/>
        <item x="139"/>
        <item x="88"/>
        <item x="241"/>
        <item x="216"/>
        <item x="324"/>
        <item x="83"/>
        <item x="185"/>
        <item x="122"/>
        <item x="221"/>
        <item x="154"/>
        <item x="13"/>
        <item x="299"/>
        <item x="115"/>
        <item x="318"/>
        <item x="133"/>
        <item x="72"/>
        <item x="2"/>
        <item x="200"/>
        <item x="323"/>
        <item x="176"/>
        <item x="157"/>
        <item x="191"/>
        <item x="140"/>
        <item x="250"/>
        <item x="136"/>
        <item x="309"/>
        <item x="296"/>
        <item x="291"/>
        <item x="211"/>
        <item x="187"/>
        <item x="175"/>
        <item x="113"/>
        <item x="63"/>
        <item x="127"/>
        <item x="130"/>
        <item x="270"/>
        <item x="231"/>
        <item x="0"/>
        <item x="36"/>
        <item x="311"/>
        <item x="69"/>
        <item x="290"/>
        <item x="281"/>
        <item x="188"/>
        <item x="116"/>
        <item x="261"/>
        <item x="102"/>
        <item x="249"/>
        <item x="315"/>
        <item x="100"/>
        <item x="41"/>
        <item x="262"/>
        <item x="52"/>
        <item x="146"/>
        <item x="64"/>
        <item x="167"/>
        <item x="168"/>
        <item x="85"/>
        <item x="218"/>
        <item x="319"/>
        <item x="24"/>
        <item x="79"/>
        <item x="268"/>
        <item x="11"/>
        <item x="42"/>
        <item x="207"/>
        <item x="48"/>
        <item x="158"/>
        <item x="235"/>
        <item x="135"/>
        <item x="104"/>
        <item x="314"/>
        <item x="273"/>
        <item x="292"/>
        <item x="118"/>
        <item x="280"/>
        <item x="3"/>
        <item x="77"/>
        <item x="141"/>
        <item x="150"/>
        <item x="23"/>
        <item x="174"/>
        <item x="282"/>
        <item x="288"/>
        <item x="96"/>
        <item x="317"/>
        <item x="277"/>
        <item x="182"/>
        <item x="307"/>
        <item x="223"/>
        <item x="107"/>
        <item x="111"/>
        <item x="93"/>
        <item x="289"/>
        <item x="196"/>
        <item x="87"/>
        <item x="205"/>
        <item x="298"/>
        <item x="56"/>
        <item x="34"/>
        <item x="201"/>
        <item x="259"/>
        <item x="44"/>
        <item x="300"/>
        <item x="166"/>
        <item x="239"/>
        <item x="233"/>
        <item x="49"/>
        <item x="144"/>
        <item x="57"/>
        <item x="245"/>
        <item x="89"/>
        <item x="55"/>
        <item x="256"/>
        <item x="198"/>
        <item x="306"/>
        <item x="266"/>
        <item x="243"/>
        <item x="313"/>
        <item x="1"/>
        <item x="173"/>
        <item x="51"/>
        <item x="153"/>
        <item x="203"/>
        <item x="156"/>
        <item x="246"/>
        <item x="302"/>
        <item x="316"/>
        <item x="210"/>
        <item x="28"/>
        <item x="224"/>
        <item x="123"/>
        <item x="238"/>
        <item x="228"/>
        <item x="149"/>
        <item x="39"/>
        <item x="181"/>
        <item x="265"/>
        <item x="50"/>
        <item x="263"/>
        <item x="230"/>
        <item x="67"/>
        <item x="165"/>
        <item x="32"/>
        <item x="68"/>
        <item x="90"/>
        <item x="103"/>
        <item x="301"/>
        <item x="125"/>
        <item x="251"/>
        <item x="275"/>
        <item x="305"/>
        <item x="226"/>
        <item x="97"/>
        <item x="92"/>
        <item x="244"/>
        <item x="264"/>
        <item x="242"/>
        <item x="73"/>
        <item x="81"/>
        <item x="180"/>
        <item x="172"/>
        <item x="293"/>
        <item x="328"/>
        <item x="148"/>
        <item x="30"/>
        <item x="29"/>
        <item x="209"/>
        <item x="217"/>
        <item x="310"/>
        <item x="240"/>
        <item x="37"/>
        <item x="164"/>
        <item x="54"/>
        <item x="327"/>
        <item x="267"/>
        <item x="199"/>
        <item x="284"/>
        <item x="101"/>
        <item x="46"/>
        <item x="40"/>
        <item x="195"/>
        <item x="183"/>
        <item x="229"/>
        <item x="120"/>
        <item x="82"/>
        <item x="43"/>
        <item x="219"/>
        <item x="74"/>
        <item x="236"/>
        <item x="308"/>
        <item x="272"/>
        <item x="143"/>
        <item x="16"/>
        <item x="159"/>
        <item x="177"/>
        <item x="78"/>
        <item x="297"/>
        <item x="112"/>
        <item x="110"/>
        <item x="160"/>
        <item x="62"/>
        <item x="186"/>
        <item x="214"/>
        <item x="190"/>
        <item x="138"/>
        <item x="14"/>
        <item x="237"/>
        <item x="131"/>
        <item x="134"/>
        <item x="26"/>
        <item x="105"/>
        <item x="304"/>
        <item x="252"/>
        <item x="312"/>
        <item x="114"/>
        <item x="178"/>
        <item x="287"/>
        <item x="162"/>
        <item x="152"/>
        <item x="98"/>
        <item x="212"/>
        <item x="322"/>
        <item x="142"/>
        <item x="303"/>
        <item x="283"/>
        <item x="65"/>
        <item x="91"/>
        <item x="271"/>
        <item x="18"/>
        <item x="232"/>
        <item x="109"/>
        <item x="276"/>
        <item x="286"/>
        <item x="225"/>
        <item x="253"/>
        <item x="20"/>
        <item x="170"/>
        <item x="5"/>
        <item x="45"/>
        <item x="194"/>
        <item x="27"/>
        <item x="254"/>
        <item x="31"/>
        <item x="222"/>
        <item x="208"/>
        <item x="269"/>
        <item x="257"/>
        <item x="38"/>
        <item x="7"/>
        <item x="234"/>
        <item x="294"/>
        <item x="71"/>
        <item x="145"/>
        <item x="325"/>
        <item x="84"/>
        <item x="171"/>
        <item x="61"/>
        <item x="58"/>
        <item x="204"/>
        <item x="248"/>
        <item x="124"/>
        <item x="8"/>
        <item x="53"/>
        <item x="220"/>
        <item x="106"/>
        <item x="60"/>
        <item x="285"/>
        <item x="197"/>
        <item x="121"/>
        <item x="19"/>
        <item x="59"/>
        <item x="227"/>
        <item x="206"/>
        <item x="33"/>
        <item x="15"/>
        <item x="70"/>
        <item x="9"/>
        <item x="126"/>
        <item x="4"/>
        <item x="108"/>
        <item x="86"/>
        <item x="213"/>
        <item x="129"/>
        <item x="279"/>
        <item x="95"/>
        <item x="202"/>
        <item x="17"/>
        <item x="119"/>
        <item x="155"/>
        <item x="75"/>
        <item x="94"/>
        <item x="99"/>
        <item x="326"/>
        <item x="179"/>
        <item x="161"/>
        <item x="295"/>
        <item x="132"/>
        <item x="192"/>
        <item x="278"/>
        <item x="117"/>
        <item x="22"/>
        <item x="35"/>
        <item x="260"/>
        <item x="189"/>
        <item x="151"/>
        <item x="47"/>
        <item x="193"/>
        <item x="137"/>
        <item x="321"/>
        <item t="default"/>
      </items>
    </pivotField>
    <pivotField showAll="0"/>
    <pivotField showAll="0"/>
    <pivotField showAll="0"/>
    <pivotField showAll="0"/>
    <pivotField showAll="0"/>
    <pivotField showAll="0"/>
    <pivotField axis="axisRow" showAll="0">
      <items count="6">
        <item x="2"/>
        <item x="1"/>
        <item x="4"/>
        <item x="3"/>
        <item x="0"/>
        <item t="default"/>
      </items>
    </pivotField>
    <pivotField dataField="1" showAll="0"/>
    <pivotField showAll="0"/>
    <pivotField dataField="1" showAll="0"/>
    <pivotField showAll="0"/>
    <pivotField showAll="0"/>
    <pivotField showAll="0" defaultSubtotal="0"/>
    <pivotField showAll="0" defaultSubtotal="0">
      <items count="14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</items>
    </pivotField>
  </pivotFields>
  <rowFields count="1">
    <field x="8"/>
  </rowFields>
  <rowItems count="6">
    <i>
      <x/>
    </i>
    <i>
      <x v="1"/>
    </i>
    <i>
      <x v="2"/>
    </i>
    <i>
      <x v="3"/>
    </i>
    <i>
      <x v="4"/>
    </i>
    <i t="grand">
      <x/>
    </i>
  </rowItems>
  <colFields count="1">
    <field x="-2"/>
  </colFields>
  <colItems count="2">
    <i>
      <x/>
    </i>
    <i i="1">
      <x v="1"/>
    </i>
  </colItems>
  <dataFields count="2">
    <dataField name="Sum of Sales" fld="9" baseField="0" baseItem="0"/>
    <dataField name="Sum of Profit" fld="11" baseField="0" baseItem="0"/>
  </dataFields>
  <formats count="2">
    <format dxfId="13">
      <pivotArea collapsedLevelsAreSubtotals="1" fieldPosition="0">
        <references count="2">
          <reference field="4294967294" count="1" selected="0">
            <x v="0"/>
          </reference>
          <reference field="8" count="0"/>
        </references>
      </pivotArea>
    </format>
    <format dxfId="12">
      <pivotArea collapsedLevelsAreSubtotals="1" fieldPosition="0">
        <references count="2">
          <reference field="4294967294" count="1" selected="0">
            <x v="1"/>
          </reference>
          <reference field="8" count="0"/>
        </references>
      </pivotArea>
    </format>
  </formats>
  <chartFormats count="4">
    <chartFormat chart="3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3" format="1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8" format="4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8" format="5" series="1">
      <pivotArea type="data" outline="0" fieldPosition="0">
        <references count="1">
          <reference field="4294967294" count="1" selected="0">
            <x v="1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86BAAAFE-2034-468C-A5FC-41532D2AE83B}" name="PivotTable3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17" rowHeaderCaption="Product">
  <location ref="A3:C14" firstHeaderRow="0" firstDataRow="1" firstDataCol="1"/>
  <pivotFields count="16">
    <pivotField showAll="0"/>
    <pivotField numFmtId="14" showAll="0">
      <items count="330">
        <item x="255"/>
        <item x="184"/>
        <item x="169"/>
        <item x="25"/>
        <item x="274"/>
        <item x="6"/>
        <item x="320"/>
        <item x="147"/>
        <item x="80"/>
        <item x="76"/>
        <item x="66"/>
        <item x="10"/>
        <item x="12"/>
        <item x="247"/>
        <item x="163"/>
        <item x="215"/>
        <item x="258"/>
        <item x="128"/>
        <item x="21"/>
        <item x="139"/>
        <item x="88"/>
        <item x="241"/>
        <item x="216"/>
        <item x="324"/>
        <item x="83"/>
        <item x="185"/>
        <item x="122"/>
        <item x="221"/>
        <item x="154"/>
        <item x="13"/>
        <item x="299"/>
        <item x="115"/>
        <item x="318"/>
        <item x="133"/>
        <item x="72"/>
        <item x="2"/>
        <item x="200"/>
        <item x="323"/>
        <item x="176"/>
        <item x="157"/>
        <item x="191"/>
        <item x="140"/>
        <item x="250"/>
        <item x="136"/>
        <item x="309"/>
        <item x="296"/>
        <item x="291"/>
        <item x="211"/>
        <item x="187"/>
        <item x="175"/>
        <item x="113"/>
        <item x="63"/>
        <item x="127"/>
        <item x="130"/>
        <item x="270"/>
        <item x="231"/>
        <item x="0"/>
        <item x="36"/>
        <item x="311"/>
        <item x="69"/>
        <item x="290"/>
        <item x="281"/>
        <item x="188"/>
        <item x="116"/>
        <item x="261"/>
        <item x="102"/>
        <item x="249"/>
        <item x="315"/>
        <item x="100"/>
        <item x="41"/>
        <item x="262"/>
        <item x="52"/>
        <item x="146"/>
        <item x="64"/>
        <item x="167"/>
        <item x="168"/>
        <item x="85"/>
        <item x="218"/>
        <item x="319"/>
        <item x="24"/>
        <item x="79"/>
        <item x="268"/>
        <item x="11"/>
        <item x="42"/>
        <item x="207"/>
        <item x="48"/>
        <item x="158"/>
        <item x="235"/>
        <item x="135"/>
        <item x="104"/>
        <item x="314"/>
        <item x="273"/>
        <item x="292"/>
        <item x="118"/>
        <item x="280"/>
        <item x="3"/>
        <item x="77"/>
        <item x="141"/>
        <item x="150"/>
        <item x="23"/>
        <item x="174"/>
        <item x="282"/>
        <item x="288"/>
        <item x="96"/>
        <item x="317"/>
        <item x="277"/>
        <item x="182"/>
        <item x="307"/>
        <item x="223"/>
        <item x="107"/>
        <item x="111"/>
        <item x="93"/>
        <item x="289"/>
        <item x="196"/>
        <item x="87"/>
        <item x="205"/>
        <item x="298"/>
        <item x="56"/>
        <item x="34"/>
        <item x="201"/>
        <item x="259"/>
        <item x="44"/>
        <item x="300"/>
        <item x="166"/>
        <item x="239"/>
        <item x="233"/>
        <item x="49"/>
        <item x="144"/>
        <item x="57"/>
        <item x="245"/>
        <item x="89"/>
        <item x="55"/>
        <item x="256"/>
        <item x="198"/>
        <item x="306"/>
        <item x="266"/>
        <item x="243"/>
        <item x="313"/>
        <item x="1"/>
        <item x="173"/>
        <item x="51"/>
        <item x="153"/>
        <item x="203"/>
        <item x="156"/>
        <item x="246"/>
        <item x="302"/>
        <item x="316"/>
        <item x="210"/>
        <item x="28"/>
        <item x="224"/>
        <item x="123"/>
        <item x="238"/>
        <item x="228"/>
        <item x="149"/>
        <item x="39"/>
        <item x="181"/>
        <item x="265"/>
        <item x="50"/>
        <item x="263"/>
        <item x="230"/>
        <item x="67"/>
        <item x="165"/>
        <item x="32"/>
        <item x="68"/>
        <item x="90"/>
        <item x="103"/>
        <item x="301"/>
        <item x="125"/>
        <item x="251"/>
        <item x="275"/>
        <item x="305"/>
        <item x="226"/>
        <item x="97"/>
        <item x="92"/>
        <item x="244"/>
        <item x="264"/>
        <item x="242"/>
        <item x="73"/>
        <item x="81"/>
        <item x="180"/>
        <item x="172"/>
        <item x="293"/>
        <item x="328"/>
        <item x="148"/>
        <item x="30"/>
        <item x="29"/>
        <item x="209"/>
        <item x="217"/>
        <item x="310"/>
        <item x="240"/>
        <item x="37"/>
        <item x="164"/>
        <item x="54"/>
        <item x="327"/>
        <item x="267"/>
        <item x="199"/>
        <item x="284"/>
        <item x="101"/>
        <item x="46"/>
        <item x="40"/>
        <item x="195"/>
        <item x="183"/>
        <item x="229"/>
        <item x="120"/>
        <item x="82"/>
        <item x="43"/>
        <item x="219"/>
        <item x="74"/>
        <item x="236"/>
        <item x="308"/>
        <item x="272"/>
        <item x="143"/>
        <item x="16"/>
        <item x="159"/>
        <item x="177"/>
        <item x="78"/>
        <item x="297"/>
        <item x="112"/>
        <item x="110"/>
        <item x="160"/>
        <item x="62"/>
        <item x="186"/>
        <item x="214"/>
        <item x="190"/>
        <item x="138"/>
        <item x="14"/>
        <item x="237"/>
        <item x="131"/>
        <item x="134"/>
        <item x="26"/>
        <item x="105"/>
        <item x="304"/>
        <item x="252"/>
        <item x="312"/>
        <item x="114"/>
        <item x="178"/>
        <item x="287"/>
        <item x="162"/>
        <item x="152"/>
        <item x="98"/>
        <item x="212"/>
        <item x="322"/>
        <item x="142"/>
        <item x="303"/>
        <item x="283"/>
        <item x="65"/>
        <item x="91"/>
        <item x="271"/>
        <item x="18"/>
        <item x="232"/>
        <item x="109"/>
        <item x="276"/>
        <item x="286"/>
        <item x="225"/>
        <item x="253"/>
        <item x="20"/>
        <item x="170"/>
        <item x="5"/>
        <item x="45"/>
        <item x="194"/>
        <item x="27"/>
        <item x="254"/>
        <item x="31"/>
        <item x="222"/>
        <item x="208"/>
        <item x="269"/>
        <item x="257"/>
        <item x="38"/>
        <item x="7"/>
        <item x="234"/>
        <item x="294"/>
        <item x="71"/>
        <item x="145"/>
        <item x="325"/>
        <item x="84"/>
        <item x="171"/>
        <item x="61"/>
        <item x="58"/>
        <item x="204"/>
        <item x="248"/>
        <item x="124"/>
        <item x="8"/>
        <item x="53"/>
        <item x="220"/>
        <item x="106"/>
        <item x="60"/>
        <item x="285"/>
        <item x="197"/>
        <item x="121"/>
        <item x="19"/>
        <item x="59"/>
        <item x="227"/>
        <item x="206"/>
        <item x="33"/>
        <item x="15"/>
        <item x="70"/>
        <item x="9"/>
        <item x="126"/>
        <item x="4"/>
        <item x="108"/>
        <item x="86"/>
        <item x="213"/>
        <item x="129"/>
        <item x="279"/>
        <item x="95"/>
        <item x="202"/>
        <item x="17"/>
        <item x="119"/>
        <item x="155"/>
        <item x="75"/>
        <item x="94"/>
        <item x="99"/>
        <item x="326"/>
        <item x="179"/>
        <item x="161"/>
        <item x="295"/>
        <item x="132"/>
        <item x="192"/>
        <item x="278"/>
        <item x="117"/>
        <item x="22"/>
        <item x="35"/>
        <item x="260"/>
        <item x="189"/>
        <item x="151"/>
        <item x="47"/>
        <item x="193"/>
        <item x="137"/>
        <item x="321"/>
        <item t="default"/>
      </items>
    </pivotField>
    <pivotField showAll="0"/>
    <pivotField showAll="0"/>
    <pivotField showAll="0"/>
    <pivotField showAll="0"/>
    <pivotField showAll="0"/>
    <pivotField axis="axisRow" showAll="0" measureFilter="1">
      <items count="33">
        <item x="25"/>
        <item x="21"/>
        <item x="6"/>
        <item x="3"/>
        <item x="8"/>
        <item x="22"/>
        <item x="27"/>
        <item x="13"/>
        <item x="4"/>
        <item x="26"/>
        <item x="19"/>
        <item x="10"/>
        <item x="18"/>
        <item x="2"/>
        <item x="0"/>
        <item x="5"/>
        <item x="9"/>
        <item x="17"/>
        <item x="15"/>
        <item x="29"/>
        <item x="23"/>
        <item x="24"/>
        <item x="20"/>
        <item x="16"/>
        <item x="31"/>
        <item x="28"/>
        <item x="1"/>
        <item x="14"/>
        <item x="7"/>
        <item x="11"/>
        <item x="30"/>
        <item x="12"/>
        <item t="default"/>
      </items>
    </pivotField>
    <pivotField showAll="0"/>
    <pivotField dataField="1" showAll="0"/>
    <pivotField showAll="0"/>
    <pivotField dataField="1" showAll="0"/>
    <pivotField showAll="0"/>
    <pivotField showAll="0"/>
    <pivotField showAll="0" defaultSubtotal="0"/>
    <pivotField showAll="0" defaultSubtotal="0">
      <items count="14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</items>
    </pivotField>
  </pivotFields>
  <rowFields count="1">
    <field x="7"/>
  </rowFields>
  <rowItems count="11">
    <i>
      <x v="4"/>
    </i>
    <i>
      <x v="7"/>
    </i>
    <i>
      <x v="8"/>
    </i>
    <i>
      <x v="17"/>
    </i>
    <i>
      <x v="19"/>
    </i>
    <i>
      <x v="21"/>
    </i>
    <i>
      <x v="24"/>
    </i>
    <i>
      <x v="25"/>
    </i>
    <i>
      <x v="28"/>
    </i>
    <i>
      <x v="31"/>
    </i>
    <i t="grand">
      <x/>
    </i>
  </rowItems>
  <colFields count="1">
    <field x="-2"/>
  </colFields>
  <colItems count="2">
    <i>
      <x/>
    </i>
    <i i="1">
      <x v="1"/>
    </i>
  </colItems>
  <dataFields count="2">
    <dataField name="Sum of Sales" fld="9" baseField="0" baseItem="0"/>
    <dataField name="Sum of Profit" fld="11" baseField="0" baseItem="0"/>
  </dataFields>
  <chartFormats count="4">
    <chartFormat chart="1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" format="1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6" format="4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6" format="5" series="1">
      <pivotArea type="data" outline="0" fieldPosition="0">
        <references count="1">
          <reference field="4294967294" count="1" selected="0">
            <x v="1"/>
          </reference>
        </references>
      </pivotArea>
    </chartFormat>
  </chartFormats>
  <pivotTableStyleInfo name="PivotStyleLight16" showRowHeaders="1" showColHeaders="1" showRowStripes="0" showColStripes="0" showLastColumn="1"/>
  <filters count="1">
    <filter fld="7" type="count" evalOrder="-1" id="1" iMeasureFld="0">
      <autoFilter ref="A1">
        <filterColumn colId="0">
          <top10 val="10" filterVal="10"/>
        </filterColumn>
      </autoFilter>
    </filter>
  </filters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EDC0251A-454C-4AA1-9291-C6DA6F30FF18}" name="PivotTable4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11" rowHeaderCaption="Region">
  <location ref="A3:C8" firstHeaderRow="0" firstDataRow="1" firstDataCol="1"/>
  <pivotFields count="16">
    <pivotField showAll="0"/>
    <pivotField numFmtId="14" showAll="0">
      <items count="330">
        <item x="255"/>
        <item x="184"/>
        <item x="169"/>
        <item x="25"/>
        <item x="274"/>
        <item x="6"/>
        <item x="320"/>
        <item x="147"/>
        <item x="80"/>
        <item x="76"/>
        <item x="66"/>
        <item x="10"/>
        <item x="12"/>
        <item x="247"/>
        <item x="163"/>
        <item x="215"/>
        <item x="258"/>
        <item x="128"/>
        <item x="21"/>
        <item x="139"/>
        <item x="88"/>
        <item x="241"/>
        <item x="216"/>
        <item x="324"/>
        <item x="83"/>
        <item x="185"/>
        <item x="122"/>
        <item x="221"/>
        <item x="154"/>
        <item x="13"/>
        <item x="299"/>
        <item x="115"/>
        <item x="318"/>
        <item x="133"/>
        <item x="72"/>
        <item x="2"/>
        <item x="200"/>
        <item x="323"/>
        <item x="176"/>
        <item x="157"/>
        <item x="191"/>
        <item x="140"/>
        <item x="250"/>
        <item x="136"/>
        <item x="309"/>
        <item x="296"/>
        <item x="291"/>
        <item x="211"/>
        <item x="187"/>
        <item x="175"/>
        <item x="113"/>
        <item x="63"/>
        <item x="127"/>
        <item x="130"/>
        <item x="270"/>
        <item x="231"/>
        <item x="0"/>
        <item x="36"/>
        <item x="311"/>
        <item x="69"/>
        <item x="290"/>
        <item x="281"/>
        <item x="188"/>
        <item x="116"/>
        <item x="261"/>
        <item x="102"/>
        <item x="249"/>
        <item x="315"/>
        <item x="100"/>
        <item x="41"/>
        <item x="262"/>
        <item x="52"/>
        <item x="146"/>
        <item x="64"/>
        <item x="167"/>
        <item x="168"/>
        <item x="85"/>
        <item x="218"/>
        <item x="319"/>
        <item x="24"/>
        <item x="79"/>
        <item x="268"/>
        <item x="11"/>
        <item x="42"/>
        <item x="207"/>
        <item x="48"/>
        <item x="158"/>
        <item x="235"/>
        <item x="135"/>
        <item x="104"/>
        <item x="314"/>
        <item x="273"/>
        <item x="292"/>
        <item x="118"/>
        <item x="280"/>
        <item x="3"/>
        <item x="77"/>
        <item x="141"/>
        <item x="150"/>
        <item x="23"/>
        <item x="174"/>
        <item x="282"/>
        <item x="288"/>
        <item x="96"/>
        <item x="317"/>
        <item x="277"/>
        <item x="182"/>
        <item x="307"/>
        <item x="223"/>
        <item x="107"/>
        <item x="111"/>
        <item x="93"/>
        <item x="289"/>
        <item x="196"/>
        <item x="87"/>
        <item x="205"/>
        <item x="298"/>
        <item x="56"/>
        <item x="34"/>
        <item x="201"/>
        <item x="259"/>
        <item x="44"/>
        <item x="300"/>
        <item x="166"/>
        <item x="239"/>
        <item x="233"/>
        <item x="49"/>
        <item x="144"/>
        <item x="57"/>
        <item x="245"/>
        <item x="89"/>
        <item x="55"/>
        <item x="256"/>
        <item x="198"/>
        <item x="306"/>
        <item x="266"/>
        <item x="243"/>
        <item x="313"/>
        <item x="1"/>
        <item x="173"/>
        <item x="51"/>
        <item x="153"/>
        <item x="203"/>
        <item x="156"/>
        <item x="246"/>
        <item x="302"/>
        <item x="316"/>
        <item x="210"/>
        <item x="28"/>
        <item x="224"/>
        <item x="123"/>
        <item x="238"/>
        <item x="228"/>
        <item x="149"/>
        <item x="39"/>
        <item x="181"/>
        <item x="265"/>
        <item x="50"/>
        <item x="263"/>
        <item x="230"/>
        <item x="67"/>
        <item x="165"/>
        <item x="32"/>
        <item x="68"/>
        <item x="90"/>
        <item x="103"/>
        <item x="301"/>
        <item x="125"/>
        <item x="251"/>
        <item x="275"/>
        <item x="305"/>
        <item x="226"/>
        <item x="97"/>
        <item x="92"/>
        <item x="244"/>
        <item x="264"/>
        <item x="242"/>
        <item x="73"/>
        <item x="81"/>
        <item x="180"/>
        <item x="172"/>
        <item x="293"/>
        <item x="328"/>
        <item x="148"/>
        <item x="30"/>
        <item x="29"/>
        <item x="209"/>
        <item x="217"/>
        <item x="310"/>
        <item x="240"/>
        <item x="37"/>
        <item x="164"/>
        <item x="54"/>
        <item x="327"/>
        <item x="267"/>
        <item x="199"/>
        <item x="284"/>
        <item x="101"/>
        <item x="46"/>
        <item x="40"/>
        <item x="195"/>
        <item x="183"/>
        <item x="229"/>
        <item x="120"/>
        <item x="82"/>
        <item x="43"/>
        <item x="219"/>
        <item x="74"/>
        <item x="236"/>
        <item x="308"/>
        <item x="272"/>
        <item x="143"/>
        <item x="16"/>
        <item x="159"/>
        <item x="177"/>
        <item x="78"/>
        <item x="297"/>
        <item x="112"/>
        <item x="110"/>
        <item x="160"/>
        <item x="62"/>
        <item x="186"/>
        <item x="214"/>
        <item x="190"/>
        <item x="138"/>
        <item x="14"/>
        <item x="237"/>
        <item x="131"/>
        <item x="134"/>
        <item x="26"/>
        <item x="105"/>
        <item x="304"/>
        <item x="252"/>
        <item x="312"/>
        <item x="114"/>
        <item x="178"/>
        <item x="287"/>
        <item x="162"/>
        <item x="152"/>
        <item x="98"/>
        <item x="212"/>
        <item x="322"/>
        <item x="142"/>
        <item x="303"/>
        <item x="283"/>
        <item x="65"/>
        <item x="91"/>
        <item x="271"/>
        <item x="18"/>
        <item x="232"/>
        <item x="109"/>
        <item x="276"/>
        <item x="286"/>
        <item x="225"/>
        <item x="253"/>
        <item x="20"/>
        <item x="170"/>
        <item x="5"/>
        <item x="45"/>
        <item x="194"/>
        <item x="27"/>
        <item x="254"/>
        <item x="31"/>
        <item x="222"/>
        <item x="208"/>
        <item x="269"/>
        <item x="257"/>
        <item x="38"/>
        <item x="7"/>
        <item x="234"/>
        <item x="294"/>
        <item x="71"/>
        <item x="145"/>
        <item x="325"/>
        <item x="84"/>
        <item x="171"/>
        <item x="61"/>
        <item x="58"/>
        <item x="204"/>
        <item x="248"/>
        <item x="124"/>
        <item x="8"/>
        <item x="53"/>
        <item x="220"/>
        <item x="106"/>
        <item x="60"/>
        <item x="285"/>
        <item x="197"/>
        <item x="121"/>
        <item x="19"/>
        <item x="59"/>
        <item x="227"/>
        <item x="206"/>
        <item x="33"/>
        <item x="15"/>
        <item x="70"/>
        <item x="9"/>
        <item x="126"/>
        <item x="4"/>
        <item x="108"/>
        <item x="86"/>
        <item x="213"/>
        <item x="129"/>
        <item x="279"/>
        <item x="95"/>
        <item x="202"/>
        <item x="17"/>
        <item x="119"/>
        <item x="155"/>
        <item x="75"/>
        <item x="94"/>
        <item x="99"/>
        <item x="326"/>
        <item x="179"/>
        <item x="161"/>
        <item x="295"/>
        <item x="132"/>
        <item x="192"/>
        <item x="278"/>
        <item x="117"/>
        <item x="22"/>
        <item x="35"/>
        <item x="260"/>
        <item x="189"/>
        <item x="151"/>
        <item x="47"/>
        <item x="193"/>
        <item x="137"/>
        <item x="321"/>
        <item t="default"/>
      </items>
    </pivotField>
    <pivotField showAll="0"/>
    <pivotField showAll="0"/>
    <pivotField showAll="0"/>
    <pivotField showAll="0"/>
    <pivotField axis="axisRow" showAll="0">
      <items count="5">
        <item x="1"/>
        <item x="2"/>
        <item x="0"/>
        <item x="3"/>
        <item t="default"/>
      </items>
    </pivotField>
    <pivotField showAll="0"/>
    <pivotField showAll="0"/>
    <pivotField dataField="1" showAll="0"/>
    <pivotField showAll="0"/>
    <pivotField dataField="1" showAll="0"/>
    <pivotField showAll="0"/>
    <pivotField showAll="0"/>
    <pivotField showAll="0" defaultSubtotal="0"/>
    <pivotField showAll="0" defaultSubtotal="0">
      <items count="14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</items>
    </pivotField>
  </pivotFields>
  <rowFields count="1">
    <field x="6"/>
  </rowFields>
  <rowItems count="5">
    <i>
      <x/>
    </i>
    <i>
      <x v="1"/>
    </i>
    <i>
      <x v="2"/>
    </i>
    <i>
      <x v="3"/>
    </i>
    <i t="grand">
      <x/>
    </i>
  </rowItems>
  <colFields count="1">
    <field x="-2"/>
  </colFields>
  <colItems count="2">
    <i>
      <x/>
    </i>
    <i i="1">
      <x v="1"/>
    </i>
  </colItems>
  <dataFields count="2">
    <dataField name="Sum of Sales" fld="9" baseField="0" baseItem="0"/>
    <dataField name="Sum of Profit" fld="11" baseField="0" baseItem="0"/>
  </dataFields>
  <formats count="2">
    <format dxfId="11">
      <pivotArea collapsedLevelsAreSubtotals="1" fieldPosition="0">
        <references count="2">
          <reference field="4294967294" count="1" selected="0">
            <x v="0"/>
          </reference>
          <reference field="6" count="0"/>
        </references>
      </pivotArea>
    </format>
    <format dxfId="10">
      <pivotArea collapsedLevelsAreSubtotals="1" fieldPosition="0">
        <references count="2">
          <reference field="4294967294" count="1" selected="0">
            <x v="1"/>
          </reference>
          <reference field="6" count="0"/>
        </references>
      </pivotArea>
    </format>
  </formats>
  <chartFormats count="4">
    <chartFormat chart="1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" format="1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6" format="4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6" format="5" series="1">
      <pivotArea type="data" outline="0" fieldPosition="0">
        <references count="1">
          <reference field="4294967294" count="1" selected="0">
            <x v="1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5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1998360F-7432-4F22-91A2-D94D4BD4BB4C}" name="PivotTable5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13" rowHeaderCaption="State">
  <location ref="A3:C18" firstHeaderRow="0" firstDataRow="1" firstDataCol="1"/>
  <pivotFields count="16">
    <pivotField showAll="0"/>
    <pivotField numFmtId="14" showAll="0">
      <items count="330">
        <item x="255"/>
        <item x="184"/>
        <item x="169"/>
        <item x="25"/>
        <item x="274"/>
        <item x="6"/>
        <item x="320"/>
        <item x="147"/>
        <item x="80"/>
        <item x="76"/>
        <item x="66"/>
        <item x="10"/>
        <item x="12"/>
        <item x="247"/>
        <item x="163"/>
        <item x="215"/>
        <item x="258"/>
        <item x="128"/>
        <item x="21"/>
        <item x="139"/>
        <item x="88"/>
        <item x="241"/>
        <item x="216"/>
        <item x="324"/>
        <item x="83"/>
        <item x="185"/>
        <item x="122"/>
        <item x="221"/>
        <item x="154"/>
        <item x="13"/>
        <item x="299"/>
        <item x="115"/>
        <item x="318"/>
        <item x="133"/>
        <item x="72"/>
        <item x="2"/>
        <item x="200"/>
        <item x="323"/>
        <item x="176"/>
        <item x="157"/>
        <item x="191"/>
        <item x="140"/>
        <item x="250"/>
        <item x="136"/>
        <item x="309"/>
        <item x="296"/>
        <item x="291"/>
        <item x="211"/>
        <item x="187"/>
        <item x="175"/>
        <item x="113"/>
        <item x="63"/>
        <item x="127"/>
        <item x="130"/>
        <item x="270"/>
        <item x="231"/>
        <item x="0"/>
        <item x="36"/>
        <item x="311"/>
        <item x="69"/>
        <item x="290"/>
        <item x="281"/>
        <item x="188"/>
        <item x="116"/>
        <item x="261"/>
        <item x="102"/>
        <item x="249"/>
        <item x="315"/>
        <item x="100"/>
        <item x="41"/>
        <item x="262"/>
        <item x="52"/>
        <item x="146"/>
        <item x="64"/>
        <item x="167"/>
        <item x="168"/>
        <item x="85"/>
        <item x="218"/>
        <item x="319"/>
        <item x="24"/>
        <item x="79"/>
        <item x="268"/>
        <item x="11"/>
        <item x="42"/>
        <item x="207"/>
        <item x="48"/>
        <item x="158"/>
        <item x="235"/>
        <item x="135"/>
        <item x="104"/>
        <item x="314"/>
        <item x="273"/>
        <item x="292"/>
        <item x="118"/>
        <item x="280"/>
        <item x="3"/>
        <item x="77"/>
        <item x="141"/>
        <item x="150"/>
        <item x="23"/>
        <item x="174"/>
        <item x="282"/>
        <item x="288"/>
        <item x="96"/>
        <item x="317"/>
        <item x="277"/>
        <item x="182"/>
        <item x="307"/>
        <item x="223"/>
        <item x="107"/>
        <item x="111"/>
        <item x="93"/>
        <item x="289"/>
        <item x="196"/>
        <item x="87"/>
        <item x="205"/>
        <item x="298"/>
        <item x="56"/>
        <item x="34"/>
        <item x="201"/>
        <item x="259"/>
        <item x="44"/>
        <item x="300"/>
        <item x="166"/>
        <item x="239"/>
        <item x="233"/>
        <item x="49"/>
        <item x="144"/>
        <item x="57"/>
        <item x="245"/>
        <item x="89"/>
        <item x="55"/>
        <item x="256"/>
        <item x="198"/>
        <item x="306"/>
        <item x="266"/>
        <item x="243"/>
        <item x="313"/>
        <item x="1"/>
        <item x="173"/>
        <item x="51"/>
        <item x="153"/>
        <item x="203"/>
        <item x="156"/>
        <item x="246"/>
        <item x="302"/>
        <item x="316"/>
        <item x="210"/>
        <item x="28"/>
        <item x="224"/>
        <item x="123"/>
        <item x="238"/>
        <item x="228"/>
        <item x="149"/>
        <item x="39"/>
        <item x="181"/>
        <item x="265"/>
        <item x="50"/>
        <item x="263"/>
        <item x="230"/>
        <item x="67"/>
        <item x="165"/>
        <item x="32"/>
        <item x="68"/>
        <item x="90"/>
        <item x="103"/>
        <item x="301"/>
        <item x="125"/>
        <item x="251"/>
        <item x="275"/>
        <item x="305"/>
        <item x="226"/>
        <item x="97"/>
        <item x="92"/>
        <item x="244"/>
        <item x="264"/>
        <item x="242"/>
        <item x="73"/>
        <item x="81"/>
        <item x="180"/>
        <item x="172"/>
        <item x="293"/>
        <item x="328"/>
        <item x="148"/>
        <item x="30"/>
        <item x="29"/>
        <item x="209"/>
        <item x="217"/>
        <item x="310"/>
        <item x="240"/>
        <item x="37"/>
        <item x="164"/>
        <item x="54"/>
        <item x="327"/>
        <item x="267"/>
        <item x="199"/>
        <item x="284"/>
        <item x="101"/>
        <item x="46"/>
        <item x="40"/>
        <item x="195"/>
        <item x="183"/>
        <item x="229"/>
        <item x="120"/>
        <item x="82"/>
        <item x="43"/>
        <item x="219"/>
        <item x="74"/>
        <item x="236"/>
        <item x="308"/>
        <item x="272"/>
        <item x="143"/>
        <item x="16"/>
        <item x="159"/>
        <item x="177"/>
        <item x="78"/>
        <item x="297"/>
        <item x="112"/>
        <item x="110"/>
        <item x="160"/>
        <item x="62"/>
        <item x="186"/>
        <item x="214"/>
        <item x="190"/>
        <item x="138"/>
        <item x="14"/>
        <item x="237"/>
        <item x="131"/>
        <item x="134"/>
        <item x="26"/>
        <item x="105"/>
        <item x="304"/>
        <item x="252"/>
        <item x="312"/>
        <item x="114"/>
        <item x="178"/>
        <item x="287"/>
        <item x="162"/>
        <item x="152"/>
        <item x="98"/>
        <item x="212"/>
        <item x="322"/>
        <item x="142"/>
        <item x="303"/>
        <item x="283"/>
        <item x="65"/>
        <item x="91"/>
        <item x="271"/>
        <item x="18"/>
        <item x="232"/>
        <item x="109"/>
        <item x="276"/>
        <item x="286"/>
        <item x="225"/>
        <item x="253"/>
        <item x="20"/>
        <item x="170"/>
        <item x="5"/>
        <item x="45"/>
        <item x="194"/>
        <item x="27"/>
        <item x="254"/>
        <item x="31"/>
        <item x="222"/>
        <item x="208"/>
        <item x="269"/>
        <item x="257"/>
        <item x="38"/>
        <item x="7"/>
        <item x="234"/>
        <item x="294"/>
        <item x="71"/>
        <item x="145"/>
        <item x="325"/>
        <item x="84"/>
        <item x="171"/>
        <item x="61"/>
        <item x="58"/>
        <item x="204"/>
        <item x="248"/>
        <item x="124"/>
        <item x="8"/>
        <item x="53"/>
        <item x="220"/>
        <item x="106"/>
        <item x="60"/>
        <item x="285"/>
        <item x="197"/>
        <item x="121"/>
        <item x="19"/>
        <item x="59"/>
        <item x="227"/>
        <item x="206"/>
        <item x="33"/>
        <item x="15"/>
        <item x="70"/>
        <item x="9"/>
        <item x="126"/>
        <item x="4"/>
        <item x="108"/>
        <item x="86"/>
        <item x="213"/>
        <item x="129"/>
        <item x="279"/>
        <item x="95"/>
        <item x="202"/>
        <item x="17"/>
        <item x="119"/>
        <item x="155"/>
        <item x="75"/>
        <item x="94"/>
        <item x="99"/>
        <item x="326"/>
        <item x="179"/>
        <item x="161"/>
        <item x="295"/>
        <item x="132"/>
        <item x="192"/>
        <item x="278"/>
        <item x="117"/>
        <item x="22"/>
        <item x="35"/>
        <item x="260"/>
        <item x="189"/>
        <item x="151"/>
        <item x="47"/>
        <item x="193"/>
        <item x="137"/>
        <item x="321"/>
        <item t="default"/>
      </items>
    </pivotField>
    <pivotField showAll="0"/>
    <pivotField showAll="0"/>
    <pivotField showAll="0"/>
    <pivotField axis="axisRow" showAll="0">
      <items count="15">
        <item x="1"/>
        <item x="3"/>
        <item x="6"/>
        <item x="0"/>
        <item x="9"/>
        <item x="11"/>
        <item x="5"/>
        <item x="7"/>
        <item x="4"/>
        <item x="12"/>
        <item x="2"/>
        <item x="8"/>
        <item x="10"/>
        <item x="13"/>
        <item t="default"/>
      </items>
    </pivotField>
    <pivotField showAll="0"/>
    <pivotField showAll="0"/>
    <pivotField showAll="0"/>
    <pivotField dataField="1" showAll="0"/>
    <pivotField showAll="0"/>
    <pivotField dataField="1" showAll="0"/>
    <pivotField showAll="0"/>
    <pivotField showAll="0"/>
    <pivotField showAll="0" defaultSubtotal="0"/>
    <pivotField showAll="0" defaultSubtotal="0">
      <items count="14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</items>
    </pivotField>
  </pivotFields>
  <rowFields count="1">
    <field x="5"/>
  </rowFields>
  <rowItems count="15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 t="grand">
      <x/>
    </i>
  </rowItems>
  <colFields count="1">
    <field x="-2"/>
  </colFields>
  <colItems count="2">
    <i>
      <x/>
    </i>
    <i i="1">
      <x v="1"/>
    </i>
  </colItems>
  <dataFields count="2">
    <dataField name="Sum of Sales" fld="9" baseField="0" baseItem="0"/>
    <dataField name="Sum of Profit" fld="11" baseField="0" baseItem="0"/>
  </dataFields>
  <formats count="2">
    <format dxfId="9">
      <pivotArea collapsedLevelsAreSubtotals="1" fieldPosition="0">
        <references count="2">
          <reference field="4294967294" count="1" selected="0">
            <x v="0"/>
          </reference>
          <reference field="5" count="0"/>
        </references>
      </pivotArea>
    </format>
    <format dxfId="8">
      <pivotArea collapsedLevelsAreSubtotals="1" fieldPosition="0">
        <references count="2">
          <reference field="4294967294" count="1" selected="0">
            <x v="1"/>
          </reference>
          <reference field="5" count="0"/>
        </references>
      </pivotArea>
    </format>
  </formats>
  <chartFormats count="4">
    <chartFormat chart="1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" format="1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6" format="4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6" format="5" series="1">
      <pivotArea type="data" outline="0" fieldPosition="0">
        <references count="1">
          <reference field="4294967294" count="1" selected="0">
            <x v="1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6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2D01521A-1697-4BEA-B787-575C23D08387}" name="PivotTable7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11" rowHeaderCaption="Payment Method">
  <location ref="A3:C10" firstHeaderRow="0" firstDataRow="1" firstDataCol="1"/>
  <pivotFields count="16">
    <pivotField showAll="0"/>
    <pivotField numFmtId="14" showAll="0">
      <items count="330">
        <item x="255"/>
        <item x="184"/>
        <item x="169"/>
        <item x="25"/>
        <item x="274"/>
        <item x="6"/>
        <item x="320"/>
        <item x="147"/>
        <item x="80"/>
        <item x="76"/>
        <item x="66"/>
        <item x="10"/>
        <item x="12"/>
        <item x="247"/>
        <item x="163"/>
        <item x="215"/>
        <item x="258"/>
        <item x="128"/>
        <item x="21"/>
        <item x="139"/>
        <item x="88"/>
        <item x="241"/>
        <item x="216"/>
        <item x="324"/>
        <item x="83"/>
        <item x="185"/>
        <item x="122"/>
        <item x="221"/>
        <item x="154"/>
        <item x="13"/>
        <item x="299"/>
        <item x="115"/>
        <item x="318"/>
        <item x="133"/>
        <item x="72"/>
        <item x="2"/>
        <item x="200"/>
        <item x="323"/>
        <item x="176"/>
        <item x="157"/>
        <item x="191"/>
        <item x="140"/>
        <item x="250"/>
        <item x="136"/>
        <item x="309"/>
        <item x="296"/>
        <item x="291"/>
        <item x="211"/>
        <item x="187"/>
        <item x="175"/>
        <item x="113"/>
        <item x="63"/>
        <item x="127"/>
        <item x="130"/>
        <item x="270"/>
        <item x="231"/>
        <item x="0"/>
        <item x="36"/>
        <item x="311"/>
        <item x="69"/>
        <item x="290"/>
        <item x="281"/>
        <item x="188"/>
        <item x="116"/>
        <item x="261"/>
        <item x="102"/>
        <item x="249"/>
        <item x="315"/>
        <item x="100"/>
        <item x="41"/>
        <item x="262"/>
        <item x="52"/>
        <item x="146"/>
        <item x="64"/>
        <item x="167"/>
        <item x="168"/>
        <item x="85"/>
        <item x="218"/>
        <item x="319"/>
        <item x="24"/>
        <item x="79"/>
        <item x="268"/>
        <item x="11"/>
        <item x="42"/>
        <item x="207"/>
        <item x="48"/>
        <item x="158"/>
        <item x="235"/>
        <item x="135"/>
        <item x="104"/>
        <item x="314"/>
        <item x="273"/>
        <item x="292"/>
        <item x="118"/>
        <item x="280"/>
        <item x="3"/>
        <item x="77"/>
        <item x="141"/>
        <item x="150"/>
        <item x="23"/>
        <item x="174"/>
        <item x="282"/>
        <item x="288"/>
        <item x="96"/>
        <item x="317"/>
        <item x="277"/>
        <item x="182"/>
        <item x="307"/>
        <item x="223"/>
        <item x="107"/>
        <item x="111"/>
        <item x="93"/>
        <item x="289"/>
        <item x="196"/>
        <item x="87"/>
        <item x="205"/>
        <item x="298"/>
        <item x="56"/>
        <item x="34"/>
        <item x="201"/>
        <item x="259"/>
        <item x="44"/>
        <item x="300"/>
        <item x="166"/>
        <item x="239"/>
        <item x="233"/>
        <item x="49"/>
        <item x="144"/>
        <item x="57"/>
        <item x="245"/>
        <item x="89"/>
        <item x="55"/>
        <item x="256"/>
        <item x="198"/>
        <item x="306"/>
        <item x="266"/>
        <item x="243"/>
        <item x="313"/>
        <item x="1"/>
        <item x="173"/>
        <item x="51"/>
        <item x="153"/>
        <item x="203"/>
        <item x="156"/>
        <item x="246"/>
        <item x="302"/>
        <item x="316"/>
        <item x="210"/>
        <item x="28"/>
        <item x="224"/>
        <item x="123"/>
        <item x="238"/>
        <item x="228"/>
        <item x="149"/>
        <item x="39"/>
        <item x="181"/>
        <item x="265"/>
        <item x="50"/>
        <item x="263"/>
        <item x="230"/>
        <item x="67"/>
        <item x="165"/>
        <item x="32"/>
        <item x="68"/>
        <item x="90"/>
        <item x="103"/>
        <item x="301"/>
        <item x="125"/>
        <item x="251"/>
        <item x="275"/>
        <item x="305"/>
        <item x="226"/>
        <item x="97"/>
        <item x="92"/>
        <item x="244"/>
        <item x="264"/>
        <item x="242"/>
        <item x="73"/>
        <item x="81"/>
        <item x="180"/>
        <item x="172"/>
        <item x="293"/>
        <item x="328"/>
        <item x="148"/>
        <item x="30"/>
        <item x="29"/>
        <item x="209"/>
        <item x="217"/>
        <item x="310"/>
        <item x="240"/>
        <item x="37"/>
        <item x="164"/>
        <item x="54"/>
        <item x="327"/>
        <item x="267"/>
        <item x="199"/>
        <item x="284"/>
        <item x="101"/>
        <item x="46"/>
        <item x="40"/>
        <item x="195"/>
        <item x="183"/>
        <item x="229"/>
        <item x="120"/>
        <item x="82"/>
        <item x="43"/>
        <item x="219"/>
        <item x="74"/>
        <item x="236"/>
        <item x="308"/>
        <item x="272"/>
        <item x="143"/>
        <item x="16"/>
        <item x="159"/>
        <item x="177"/>
        <item x="78"/>
        <item x="297"/>
        <item x="112"/>
        <item x="110"/>
        <item x="160"/>
        <item x="62"/>
        <item x="186"/>
        <item x="214"/>
        <item x="190"/>
        <item x="138"/>
        <item x="14"/>
        <item x="237"/>
        <item x="131"/>
        <item x="134"/>
        <item x="26"/>
        <item x="105"/>
        <item x="304"/>
        <item x="252"/>
        <item x="312"/>
        <item x="114"/>
        <item x="178"/>
        <item x="287"/>
        <item x="162"/>
        <item x="152"/>
        <item x="98"/>
        <item x="212"/>
        <item x="322"/>
        <item x="142"/>
        <item x="303"/>
        <item x="283"/>
        <item x="65"/>
        <item x="91"/>
        <item x="271"/>
        <item x="18"/>
        <item x="232"/>
        <item x="109"/>
        <item x="276"/>
        <item x="286"/>
        <item x="225"/>
        <item x="253"/>
        <item x="20"/>
        <item x="170"/>
        <item x="5"/>
        <item x="45"/>
        <item x="194"/>
        <item x="27"/>
        <item x="254"/>
        <item x="31"/>
        <item x="222"/>
        <item x="208"/>
        <item x="269"/>
        <item x="257"/>
        <item x="38"/>
        <item x="7"/>
        <item x="234"/>
        <item x="294"/>
        <item x="71"/>
        <item x="145"/>
        <item x="325"/>
        <item x="84"/>
        <item x="171"/>
        <item x="61"/>
        <item x="58"/>
        <item x="204"/>
        <item x="248"/>
        <item x="124"/>
        <item x="8"/>
        <item x="53"/>
        <item x="220"/>
        <item x="106"/>
        <item x="60"/>
        <item x="285"/>
        <item x="197"/>
        <item x="121"/>
        <item x="19"/>
        <item x="59"/>
        <item x="227"/>
        <item x="206"/>
        <item x="33"/>
        <item x="15"/>
        <item x="70"/>
        <item x="9"/>
        <item x="126"/>
        <item x="4"/>
        <item x="108"/>
        <item x="86"/>
        <item x="213"/>
        <item x="129"/>
        <item x="279"/>
        <item x="95"/>
        <item x="202"/>
        <item x="17"/>
        <item x="119"/>
        <item x="155"/>
        <item x="75"/>
        <item x="94"/>
        <item x="99"/>
        <item x="326"/>
        <item x="179"/>
        <item x="161"/>
        <item x="295"/>
        <item x="132"/>
        <item x="192"/>
        <item x="278"/>
        <item x="117"/>
        <item x="22"/>
        <item x="35"/>
        <item x="260"/>
        <item x="189"/>
        <item x="151"/>
        <item x="47"/>
        <item x="193"/>
        <item x="137"/>
        <item x="321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dataField="1" showAll="0"/>
    <pivotField showAll="0"/>
    <pivotField dataField="1" showAll="0"/>
    <pivotField axis="axisRow" showAll="0">
      <items count="7">
        <item x="1"/>
        <item x="3"/>
        <item x="4"/>
        <item x="2"/>
        <item x="0"/>
        <item x="5"/>
        <item t="default"/>
      </items>
    </pivotField>
    <pivotField showAll="0"/>
    <pivotField showAll="0" defaultSubtotal="0"/>
    <pivotField showAll="0" defaultSubtotal="0">
      <items count="14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</items>
    </pivotField>
  </pivotFields>
  <rowFields count="1">
    <field x="12"/>
  </rowFields>
  <rowItems count="7">
    <i>
      <x/>
    </i>
    <i>
      <x v="1"/>
    </i>
    <i>
      <x v="2"/>
    </i>
    <i>
      <x v="3"/>
    </i>
    <i>
      <x v="4"/>
    </i>
    <i>
      <x v="5"/>
    </i>
    <i t="grand">
      <x/>
    </i>
  </rowItems>
  <colFields count="1">
    <field x="-2"/>
  </colFields>
  <colItems count="2">
    <i>
      <x/>
    </i>
    <i i="1">
      <x v="1"/>
    </i>
  </colItems>
  <dataFields count="2">
    <dataField name="Sum of Sales" fld="9" baseField="0" baseItem="0"/>
    <dataField name="Sum of Profit" fld="11" baseField="0" baseItem="0"/>
  </dataFields>
  <formats count="4">
    <format dxfId="7">
      <pivotArea collapsedLevelsAreSubtotals="1" fieldPosition="0">
        <references count="2">
          <reference field="4294967294" count="1" selected="0">
            <x v="0"/>
          </reference>
          <reference field="12" count="0"/>
        </references>
      </pivotArea>
    </format>
    <format dxfId="6">
      <pivotArea dataOnly="0" labelOnly="1" outline="0" fieldPosition="0">
        <references count="1">
          <reference field="4294967294" count="1">
            <x v="0"/>
          </reference>
        </references>
      </pivotArea>
    </format>
    <format dxfId="5">
      <pivotArea collapsedLevelsAreSubtotals="1" fieldPosition="0">
        <references count="2">
          <reference field="4294967294" count="1" selected="0">
            <x v="1"/>
          </reference>
          <reference field="12" count="0"/>
        </references>
      </pivotArea>
    </format>
    <format dxfId="4">
      <pivotArea dataOnly="0" labelOnly="1" outline="0" fieldPosition="0">
        <references count="1">
          <reference field="4294967294" count="1">
            <x v="1"/>
          </reference>
        </references>
      </pivotArea>
    </format>
  </formats>
  <chartFormats count="4">
    <chartFormat chart="1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" format="1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6" format="4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6" format="5" series="1">
      <pivotArea type="data" outline="0" fieldPosition="0">
        <references count="1">
          <reference field="4294967294" count="1" selected="0">
            <x v="1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7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AE565818-85D6-438E-8D73-F7F3008CE3D8}" name="PivotTable8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11" rowHeaderCaption="Order status">
  <location ref="A3:C9" firstHeaderRow="0" firstDataRow="1" firstDataCol="1"/>
  <pivotFields count="16">
    <pivotField showAll="0"/>
    <pivotField numFmtId="14" showAll="0">
      <items count="330">
        <item x="255"/>
        <item x="184"/>
        <item x="169"/>
        <item x="25"/>
        <item x="274"/>
        <item x="6"/>
        <item x="320"/>
        <item x="147"/>
        <item x="80"/>
        <item x="76"/>
        <item x="66"/>
        <item x="10"/>
        <item x="12"/>
        <item x="247"/>
        <item x="163"/>
        <item x="215"/>
        <item x="258"/>
        <item x="128"/>
        <item x="21"/>
        <item x="139"/>
        <item x="88"/>
        <item x="241"/>
        <item x="216"/>
        <item x="324"/>
        <item x="83"/>
        <item x="185"/>
        <item x="122"/>
        <item x="221"/>
        <item x="154"/>
        <item x="13"/>
        <item x="299"/>
        <item x="115"/>
        <item x="318"/>
        <item x="133"/>
        <item x="72"/>
        <item x="2"/>
        <item x="200"/>
        <item x="323"/>
        <item x="176"/>
        <item x="157"/>
        <item x="191"/>
        <item x="140"/>
        <item x="250"/>
        <item x="136"/>
        <item x="309"/>
        <item x="296"/>
        <item x="291"/>
        <item x="211"/>
        <item x="187"/>
        <item x="175"/>
        <item x="113"/>
        <item x="63"/>
        <item x="127"/>
        <item x="130"/>
        <item x="270"/>
        <item x="231"/>
        <item x="0"/>
        <item x="36"/>
        <item x="311"/>
        <item x="69"/>
        <item x="290"/>
        <item x="281"/>
        <item x="188"/>
        <item x="116"/>
        <item x="261"/>
        <item x="102"/>
        <item x="249"/>
        <item x="315"/>
        <item x="100"/>
        <item x="41"/>
        <item x="262"/>
        <item x="52"/>
        <item x="146"/>
        <item x="64"/>
        <item x="167"/>
        <item x="168"/>
        <item x="85"/>
        <item x="218"/>
        <item x="319"/>
        <item x="24"/>
        <item x="79"/>
        <item x="268"/>
        <item x="11"/>
        <item x="42"/>
        <item x="207"/>
        <item x="48"/>
        <item x="158"/>
        <item x="235"/>
        <item x="135"/>
        <item x="104"/>
        <item x="314"/>
        <item x="273"/>
        <item x="292"/>
        <item x="118"/>
        <item x="280"/>
        <item x="3"/>
        <item x="77"/>
        <item x="141"/>
        <item x="150"/>
        <item x="23"/>
        <item x="174"/>
        <item x="282"/>
        <item x="288"/>
        <item x="96"/>
        <item x="317"/>
        <item x="277"/>
        <item x="182"/>
        <item x="307"/>
        <item x="223"/>
        <item x="107"/>
        <item x="111"/>
        <item x="93"/>
        <item x="289"/>
        <item x="196"/>
        <item x="87"/>
        <item x="205"/>
        <item x="298"/>
        <item x="56"/>
        <item x="34"/>
        <item x="201"/>
        <item x="259"/>
        <item x="44"/>
        <item x="300"/>
        <item x="166"/>
        <item x="239"/>
        <item x="233"/>
        <item x="49"/>
        <item x="144"/>
        <item x="57"/>
        <item x="245"/>
        <item x="89"/>
        <item x="55"/>
        <item x="256"/>
        <item x="198"/>
        <item x="306"/>
        <item x="266"/>
        <item x="243"/>
        <item x="313"/>
        <item x="1"/>
        <item x="173"/>
        <item x="51"/>
        <item x="153"/>
        <item x="203"/>
        <item x="156"/>
        <item x="246"/>
        <item x="302"/>
        <item x="316"/>
        <item x="210"/>
        <item x="28"/>
        <item x="224"/>
        <item x="123"/>
        <item x="238"/>
        <item x="228"/>
        <item x="149"/>
        <item x="39"/>
        <item x="181"/>
        <item x="265"/>
        <item x="50"/>
        <item x="263"/>
        <item x="230"/>
        <item x="67"/>
        <item x="165"/>
        <item x="32"/>
        <item x="68"/>
        <item x="90"/>
        <item x="103"/>
        <item x="301"/>
        <item x="125"/>
        <item x="251"/>
        <item x="275"/>
        <item x="305"/>
        <item x="226"/>
        <item x="97"/>
        <item x="92"/>
        <item x="244"/>
        <item x="264"/>
        <item x="242"/>
        <item x="73"/>
        <item x="81"/>
        <item x="180"/>
        <item x="172"/>
        <item x="293"/>
        <item x="328"/>
        <item x="148"/>
        <item x="30"/>
        <item x="29"/>
        <item x="209"/>
        <item x="217"/>
        <item x="310"/>
        <item x="240"/>
        <item x="37"/>
        <item x="164"/>
        <item x="54"/>
        <item x="327"/>
        <item x="267"/>
        <item x="199"/>
        <item x="284"/>
        <item x="101"/>
        <item x="46"/>
        <item x="40"/>
        <item x="195"/>
        <item x="183"/>
        <item x="229"/>
        <item x="120"/>
        <item x="82"/>
        <item x="43"/>
        <item x="219"/>
        <item x="74"/>
        <item x="236"/>
        <item x="308"/>
        <item x="272"/>
        <item x="143"/>
        <item x="16"/>
        <item x="159"/>
        <item x="177"/>
        <item x="78"/>
        <item x="297"/>
        <item x="112"/>
        <item x="110"/>
        <item x="160"/>
        <item x="62"/>
        <item x="186"/>
        <item x="214"/>
        <item x="190"/>
        <item x="138"/>
        <item x="14"/>
        <item x="237"/>
        <item x="131"/>
        <item x="134"/>
        <item x="26"/>
        <item x="105"/>
        <item x="304"/>
        <item x="252"/>
        <item x="312"/>
        <item x="114"/>
        <item x="178"/>
        <item x="287"/>
        <item x="162"/>
        <item x="152"/>
        <item x="98"/>
        <item x="212"/>
        <item x="322"/>
        <item x="142"/>
        <item x="303"/>
        <item x="283"/>
        <item x="65"/>
        <item x="91"/>
        <item x="271"/>
        <item x="18"/>
        <item x="232"/>
        <item x="109"/>
        <item x="276"/>
        <item x="286"/>
        <item x="225"/>
        <item x="253"/>
        <item x="20"/>
        <item x="170"/>
        <item x="5"/>
        <item x="45"/>
        <item x="194"/>
        <item x="27"/>
        <item x="254"/>
        <item x="31"/>
        <item x="222"/>
        <item x="208"/>
        <item x="269"/>
        <item x="257"/>
        <item x="38"/>
        <item x="7"/>
        <item x="234"/>
        <item x="294"/>
        <item x="71"/>
        <item x="145"/>
        <item x="325"/>
        <item x="84"/>
        <item x="171"/>
        <item x="61"/>
        <item x="58"/>
        <item x="204"/>
        <item x="248"/>
        <item x="124"/>
        <item x="8"/>
        <item x="53"/>
        <item x="220"/>
        <item x="106"/>
        <item x="60"/>
        <item x="285"/>
        <item x="197"/>
        <item x="121"/>
        <item x="19"/>
        <item x="59"/>
        <item x="227"/>
        <item x="206"/>
        <item x="33"/>
        <item x="15"/>
        <item x="70"/>
        <item x="9"/>
        <item x="126"/>
        <item x="4"/>
        <item x="108"/>
        <item x="86"/>
        <item x="213"/>
        <item x="129"/>
        <item x="279"/>
        <item x="95"/>
        <item x="202"/>
        <item x="17"/>
        <item x="119"/>
        <item x="155"/>
        <item x="75"/>
        <item x="94"/>
        <item x="99"/>
        <item x="326"/>
        <item x="179"/>
        <item x="161"/>
        <item x="295"/>
        <item x="132"/>
        <item x="192"/>
        <item x="278"/>
        <item x="117"/>
        <item x="22"/>
        <item x="35"/>
        <item x="260"/>
        <item x="189"/>
        <item x="151"/>
        <item x="47"/>
        <item x="193"/>
        <item x="137"/>
        <item x="321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dataField="1" showAll="0"/>
    <pivotField showAll="0"/>
    <pivotField dataField="1" showAll="0"/>
    <pivotField showAll="0"/>
    <pivotField axis="axisRow" showAll="0">
      <items count="6">
        <item x="0"/>
        <item x="1"/>
        <item x="2"/>
        <item x="3"/>
        <item x="4"/>
        <item t="default"/>
      </items>
    </pivotField>
    <pivotField showAll="0" defaultSubtotal="0"/>
    <pivotField showAll="0" defaultSubtotal="0">
      <items count="14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</items>
    </pivotField>
  </pivotFields>
  <rowFields count="1">
    <field x="13"/>
  </rowFields>
  <rowItems count="6">
    <i>
      <x/>
    </i>
    <i>
      <x v="1"/>
    </i>
    <i>
      <x v="2"/>
    </i>
    <i>
      <x v="3"/>
    </i>
    <i>
      <x v="4"/>
    </i>
    <i t="grand">
      <x/>
    </i>
  </rowItems>
  <colFields count="1">
    <field x="-2"/>
  </colFields>
  <colItems count="2">
    <i>
      <x/>
    </i>
    <i i="1">
      <x v="1"/>
    </i>
  </colItems>
  <dataFields count="2">
    <dataField name="Sum of Sales" fld="9" baseField="0" baseItem="0"/>
    <dataField name="Sum of Profit" fld="11" baseField="0" baseItem="0"/>
  </dataFields>
  <formats count="3">
    <format dxfId="3">
      <pivotArea collapsedLevelsAreSubtotals="1" fieldPosition="0">
        <references count="2">
          <reference field="4294967294" count="1" selected="0">
            <x v="0"/>
          </reference>
          <reference field="13" count="0"/>
        </references>
      </pivotArea>
    </format>
    <format dxfId="2">
      <pivotArea dataOnly="0" labelOnly="1" outline="0" fieldPosition="0">
        <references count="1">
          <reference field="4294967294" count="1">
            <x v="0"/>
          </reference>
        </references>
      </pivotArea>
    </format>
    <format dxfId="1">
      <pivotArea collapsedLevelsAreSubtotals="1" fieldPosition="0">
        <references count="2">
          <reference field="4294967294" count="1" selected="0">
            <x v="1"/>
          </reference>
          <reference field="13" count="0"/>
        </references>
      </pivotArea>
    </format>
  </formats>
  <chartFormats count="4">
    <chartFormat chart="1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" format="1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6" format="4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6" format="5" series="1">
      <pivotArea type="data" outline="0" fieldPosition="0">
        <references count="1">
          <reference field="4294967294" count="1" selected="0">
            <x v="1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65D834C4-F091-4983-945E-F1737E5FFD4F}" name="SalesData" displayName="SalesData" ref="A1:N851" totalsRowShown="0">
  <autoFilter ref="A1:N851" xr:uid="{65D834C4-F091-4983-945E-F1737E5FFD4F}"/>
  <tableColumns count="14">
    <tableColumn id="1" xr3:uid="{9390B009-F1AF-4B70-B7B4-9336DF2217A3}" name="Order ID"/>
    <tableColumn id="2" xr3:uid="{50A75747-138B-4C51-A2E5-00F3BA87D0D4}" name="Order Date" dataDxfId="0"/>
    <tableColumn id="3" xr3:uid="{6E33E48E-CF43-43C4-A588-F765900D7046}" name="Customer ID"/>
    <tableColumn id="4" xr3:uid="{00D9ABBB-8E37-4ED8-A088-8F95F389CC4D}" name="Customer Name"/>
    <tableColumn id="5" xr3:uid="{428299F1-16A0-456E-8B65-CA83025855EA}" name="City"/>
    <tableColumn id="6" xr3:uid="{FE69427B-1477-4C28-B794-AE895C39138D}" name="State"/>
    <tableColumn id="7" xr3:uid="{20DC2B51-ACC0-49D5-998A-4899E6971593}" name="Region"/>
    <tableColumn id="8" xr3:uid="{64A18D6F-F858-4118-B83F-3EB13FE7755F}" name="Product Name"/>
    <tableColumn id="9" xr3:uid="{77A18335-EE83-4E78-AABD-43029CCFD41E}" name="Category"/>
    <tableColumn id="10" xr3:uid="{4478DD88-EA27-4D86-AB31-8A8E7F63CFEC}" name="Sales"/>
    <tableColumn id="11" xr3:uid="{9D9D6BDA-9206-45CB-AABA-7F86F16FA976}" name="Quantity"/>
    <tableColumn id="12" xr3:uid="{C05AFB27-6E1B-4037-93D5-B4DBA095DD9F}" name="Profit"/>
    <tableColumn id="13" xr3:uid="{DA5CB83B-1B20-4B6A-A5B6-9884A487887A}" name="Payment Method"/>
    <tableColumn id="14" xr3:uid="{12146FC4-9498-4BF2-A8E4-B5CA9188A01A}" name="Order Status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ivotTable" Target="../pivotTables/pivotTable1.x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ivotTable" Target="../pivotTables/pivotTable2.x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ivotTable" Target="../pivotTables/pivotTable3.xm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ivotTable" Target="../pivotTables/pivotTable4.xml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ivotTable" Target="../pivotTables/pivotTable5.xml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6.xml"/><Relationship Id="rId1" Type="http://schemas.openxmlformats.org/officeDocument/2006/relationships/pivotTable" Target="../pivotTables/pivotTable6.xml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7.xml"/><Relationship Id="rId1" Type="http://schemas.openxmlformats.org/officeDocument/2006/relationships/pivotTable" Target="../pivotTables/pivotTable7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3321D18-638B-4393-869B-2CCAC983DB87}">
  <dimension ref="A3:C16"/>
  <sheetViews>
    <sheetView workbookViewId="0">
      <selection activeCell="A3" sqref="A3"/>
    </sheetView>
  </sheetViews>
  <sheetFormatPr defaultRowHeight="14.4"/>
  <cols>
    <col min="1" max="1" width="12.5546875" bestFit="1" customWidth="1"/>
    <col min="2" max="2" width="13.33203125" bestFit="1" customWidth="1"/>
    <col min="3" max="3" width="12.109375" bestFit="1" customWidth="1"/>
  </cols>
  <sheetData>
    <row r="3" spans="1:3">
      <c r="A3" s="2" t="s">
        <v>1033</v>
      </c>
      <c r="B3" t="s">
        <v>1022</v>
      </c>
      <c r="C3" t="s">
        <v>1023</v>
      </c>
    </row>
    <row r="4" spans="1:3">
      <c r="A4" s="3" t="s">
        <v>1010</v>
      </c>
      <c r="B4" s="4">
        <v>2202539.1999999997</v>
      </c>
      <c r="C4" s="4">
        <v>70941.45</v>
      </c>
    </row>
    <row r="5" spans="1:3">
      <c r="A5" s="3" t="s">
        <v>1011</v>
      </c>
      <c r="B5" s="4">
        <v>1056160.2999999998</v>
      </c>
      <c r="C5" s="4">
        <v>48880.780000000006</v>
      </c>
    </row>
    <row r="6" spans="1:3">
      <c r="A6" s="3" t="s">
        <v>1012</v>
      </c>
      <c r="B6" s="4">
        <v>1844680.1500000004</v>
      </c>
      <c r="C6" s="4">
        <v>64036.720000000008</v>
      </c>
    </row>
    <row r="7" spans="1:3">
      <c r="A7" s="3" t="s">
        <v>1013</v>
      </c>
      <c r="B7" s="4">
        <v>1848171.8000000003</v>
      </c>
      <c r="C7" s="4">
        <v>84200.76</v>
      </c>
    </row>
    <row r="8" spans="1:3">
      <c r="A8" s="3" t="s">
        <v>1014</v>
      </c>
      <c r="B8" s="4">
        <v>2452825.9000000004</v>
      </c>
      <c r="C8" s="4">
        <v>101518.00000000001</v>
      </c>
    </row>
    <row r="9" spans="1:3">
      <c r="A9" s="3" t="s">
        <v>1015</v>
      </c>
      <c r="B9" s="4">
        <v>1235256.6499999999</v>
      </c>
      <c r="C9" s="4">
        <v>53522.55000000001</v>
      </c>
    </row>
    <row r="10" spans="1:3">
      <c r="A10" s="3" t="s">
        <v>1016</v>
      </c>
      <c r="B10" s="4">
        <v>1179415.4500000002</v>
      </c>
      <c r="C10" s="4">
        <v>66723.739999999991</v>
      </c>
    </row>
    <row r="11" spans="1:3">
      <c r="A11" s="3" t="s">
        <v>1017</v>
      </c>
      <c r="B11" s="4">
        <v>1351845.9500000002</v>
      </c>
      <c r="C11" s="4">
        <v>21128.270000000008</v>
      </c>
    </row>
    <row r="12" spans="1:3">
      <c r="A12" s="3" t="s">
        <v>1018</v>
      </c>
      <c r="B12" s="4">
        <v>1906323.8999999997</v>
      </c>
      <c r="C12" s="4">
        <v>72255.090000000011</v>
      </c>
    </row>
    <row r="13" spans="1:3">
      <c r="A13" s="3" t="s">
        <v>1019</v>
      </c>
      <c r="B13" s="4">
        <v>1691622.2499999998</v>
      </c>
      <c r="C13" s="4">
        <v>35963.640000000021</v>
      </c>
    </row>
    <row r="14" spans="1:3">
      <c r="A14" s="3" t="s">
        <v>1020</v>
      </c>
      <c r="B14" s="4">
        <v>1773905.5999999996</v>
      </c>
      <c r="C14" s="4">
        <v>7628.2400000000025</v>
      </c>
    </row>
    <row r="15" spans="1:3">
      <c r="A15" s="3" t="s">
        <v>1021</v>
      </c>
      <c r="B15" s="4">
        <v>2307319.2000000007</v>
      </c>
      <c r="C15" s="4">
        <v>48612.30000000001</v>
      </c>
    </row>
    <row r="16" spans="1:3">
      <c r="A16" s="3" t="s">
        <v>1009</v>
      </c>
      <c r="B16" s="4">
        <v>20850066.350000001</v>
      </c>
      <c r="C16" s="4">
        <v>675411.54</v>
      </c>
    </row>
  </sheetData>
  <pageMargins left="0.7" right="0.7" top="0.75" bottom="0.75" header="0.3" footer="0.3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80658C6-627C-416D-865B-C2FB34293586}">
  <dimension ref="A3:D9"/>
  <sheetViews>
    <sheetView workbookViewId="0">
      <selection activeCell="H19" sqref="H19"/>
    </sheetView>
  </sheetViews>
  <sheetFormatPr defaultRowHeight="14.4"/>
  <cols>
    <col min="1" max="1" width="20.33203125" bestFit="1" customWidth="1"/>
    <col min="2" max="2" width="12" bestFit="1" customWidth="1"/>
    <col min="3" max="3" width="12.109375" bestFit="1" customWidth="1"/>
    <col min="4" max="4" width="13.77734375" customWidth="1"/>
  </cols>
  <sheetData>
    <row r="3" spans="1:4">
      <c r="A3" s="2" t="s">
        <v>8</v>
      </c>
      <c r="B3" t="s">
        <v>1022</v>
      </c>
      <c r="C3" t="s">
        <v>1023</v>
      </c>
      <c r="D3" t="s">
        <v>1026</v>
      </c>
    </row>
    <row r="4" spans="1:4">
      <c r="A4" s="3" t="s">
        <v>39</v>
      </c>
      <c r="B4" s="4">
        <v>213971.45000000004</v>
      </c>
      <c r="C4" s="4">
        <v>49377.760000000009</v>
      </c>
      <c r="D4" s="5">
        <f>C4/B4</f>
        <v>0.23076798329870643</v>
      </c>
    </row>
    <row r="5" spans="1:4">
      <c r="A5" s="3" t="s">
        <v>31</v>
      </c>
      <c r="B5" s="4">
        <v>8483634.0999999978</v>
      </c>
      <c r="C5" s="4">
        <v>241243.62000000002</v>
      </c>
      <c r="D5" s="5">
        <f t="shared" ref="D5:D8" si="0">C5/B5</f>
        <v>2.8436353708371286E-2</v>
      </c>
    </row>
    <row r="6" spans="1:4">
      <c r="A6" s="3" t="s">
        <v>93</v>
      </c>
      <c r="B6" s="4">
        <v>797995.14999999956</v>
      </c>
      <c r="C6" s="4">
        <v>80897.63</v>
      </c>
      <c r="D6" s="5">
        <f t="shared" si="0"/>
        <v>0.10137609232336819</v>
      </c>
    </row>
    <row r="7" spans="1:4">
      <c r="A7" s="3" t="s">
        <v>59</v>
      </c>
      <c r="B7" s="4">
        <v>1848285.9000000008</v>
      </c>
      <c r="C7" s="4">
        <v>-67894.619999999952</v>
      </c>
      <c r="D7" s="5">
        <f t="shared" si="0"/>
        <v>-3.6733829977277824E-2</v>
      </c>
    </row>
    <row r="8" spans="1:4">
      <c r="A8" s="3" t="s">
        <v>21</v>
      </c>
      <c r="B8" s="4">
        <v>9506179.7499999981</v>
      </c>
      <c r="C8" s="4">
        <v>371787.15000000008</v>
      </c>
      <c r="D8" s="5">
        <f t="shared" si="0"/>
        <v>3.911004838720835E-2</v>
      </c>
    </row>
    <row r="9" spans="1:4">
      <c r="A9" s="3" t="s">
        <v>1009</v>
      </c>
      <c r="B9">
        <v>20850066.349999994</v>
      </c>
      <c r="C9">
        <v>675411.54000000015</v>
      </c>
    </row>
  </sheetData>
  <pageMargins left="0.7" right="0.7" top="0.75" bottom="0.75" header="0.3" footer="0.3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F69F45A-D703-4EF0-A38A-0A47E295E0F9}">
  <dimension ref="A3:C14"/>
  <sheetViews>
    <sheetView workbookViewId="0">
      <selection activeCell="A3" sqref="A3"/>
    </sheetView>
  </sheetViews>
  <sheetFormatPr defaultRowHeight="14.4"/>
  <cols>
    <col min="1" max="1" width="34.44140625" bestFit="1" customWidth="1"/>
    <col min="2" max="2" width="11.6640625" bestFit="1" customWidth="1"/>
    <col min="3" max="3" width="12.109375" bestFit="1" customWidth="1"/>
  </cols>
  <sheetData>
    <row r="3" spans="1:3">
      <c r="A3" s="2" t="s">
        <v>1032</v>
      </c>
      <c r="B3" t="s">
        <v>1022</v>
      </c>
      <c r="C3" t="s">
        <v>1023</v>
      </c>
    </row>
    <row r="4" spans="1:3">
      <c r="A4" s="3" t="s">
        <v>79</v>
      </c>
      <c r="B4">
        <v>2678962</v>
      </c>
      <c r="C4">
        <v>44058.45</v>
      </c>
    </row>
    <row r="5" spans="1:3">
      <c r="A5" s="3" t="s">
        <v>109</v>
      </c>
      <c r="B5">
        <v>2895223.5</v>
      </c>
      <c r="C5">
        <v>107499.75</v>
      </c>
    </row>
    <row r="6" spans="1:3">
      <c r="A6" s="3" t="s">
        <v>51</v>
      </c>
      <c r="B6">
        <v>516092.64999999985</v>
      </c>
      <c r="C6">
        <v>30342.26</v>
      </c>
    </row>
    <row r="7" spans="1:3">
      <c r="A7" s="3" t="s">
        <v>126</v>
      </c>
      <c r="B7">
        <v>3107922.3000000003</v>
      </c>
      <c r="C7">
        <v>119404.93</v>
      </c>
    </row>
    <row r="8" spans="1:3">
      <c r="A8" s="3" t="s">
        <v>215</v>
      </c>
      <c r="B8">
        <v>292779.94999999995</v>
      </c>
      <c r="C8">
        <v>29588.530000000002</v>
      </c>
    </row>
    <row r="9" spans="1:3">
      <c r="A9" s="3" t="s">
        <v>173</v>
      </c>
      <c r="B9">
        <v>274491.14999999997</v>
      </c>
      <c r="C9">
        <v>33075.100000000006</v>
      </c>
    </row>
    <row r="10" spans="1:3">
      <c r="A10" s="3" t="s">
        <v>261</v>
      </c>
      <c r="B10">
        <v>1346338.8</v>
      </c>
      <c r="C10">
        <v>30185.61</v>
      </c>
    </row>
    <row r="11" spans="1:3">
      <c r="A11" s="3" t="s">
        <v>206</v>
      </c>
      <c r="B11">
        <v>4761176.75</v>
      </c>
      <c r="C11">
        <v>180342.91</v>
      </c>
    </row>
    <row r="12" spans="1:3">
      <c r="A12" s="3" t="s">
        <v>74</v>
      </c>
      <c r="B12">
        <v>2261420</v>
      </c>
      <c r="C12">
        <v>37793.39</v>
      </c>
    </row>
    <row r="13" spans="1:3">
      <c r="A13" s="3" t="s">
        <v>105</v>
      </c>
      <c r="B13">
        <v>917426.6</v>
      </c>
      <c r="C13">
        <v>-158120.47999999998</v>
      </c>
    </row>
    <row r="14" spans="1:3">
      <c r="A14" s="3" t="s">
        <v>1009</v>
      </c>
      <c r="B14">
        <v>19051833.700000003</v>
      </c>
      <c r="C14">
        <v>454170.45000000007</v>
      </c>
    </row>
  </sheetData>
  <pageMargins left="0.7" right="0.7" top="0.75" bottom="0.75" header="0.3" footer="0.3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11E8503-FCE6-4E1C-A053-C87D42EC8326}">
  <dimension ref="A3:D8"/>
  <sheetViews>
    <sheetView workbookViewId="0">
      <selection activeCell="B11" sqref="B11"/>
    </sheetView>
  </sheetViews>
  <sheetFormatPr defaultRowHeight="14.4"/>
  <cols>
    <col min="1" max="1" width="12.5546875" bestFit="1" customWidth="1"/>
    <col min="2" max="2" width="12" bestFit="1" customWidth="1"/>
    <col min="3" max="3" width="12.109375" bestFit="1" customWidth="1"/>
    <col min="4" max="4" width="14.44140625" customWidth="1"/>
  </cols>
  <sheetData>
    <row r="3" spans="1:4">
      <c r="A3" s="2" t="s">
        <v>6</v>
      </c>
      <c r="B3" t="s">
        <v>1022</v>
      </c>
      <c r="C3" t="s">
        <v>1023</v>
      </c>
      <c r="D3" t="s">
        <v>1026</v>
      </c>
    </row>
    <row r="4" spans="1:4">
      <c r="A4" s="3" t="s">
        <v>29</v>
      </c>
      <c r="B4" s="4">
        <v>5343073.1000000015</v>
      </c>
      <c r="C4" s="4">
        <v>104157.32999999999</v>
      </c>
      <c r="D4" s="6">
        <f>C4/B4</f>
        <v>1.9493899493907348E-2</v>
      </c>
    </row>
    <row r="5" spans="1:4">
      <c r="A5" s="3" t="s">
        <v>50</v>
      </c>
      <c r="B5" s="4">
        <v>5336867.4999999991</v>
      </c>
      <c r="C5" s="4">
        <v>124146.4099999999</v>
      </c>
      <c r="D5" s="6">
        <f t="shared" ref="D5:D7" si="0">C5/B5</f>
        <v>2.3262037140700968E-2</v>
      </c>
    </row>
    <row r="6" spans="1:4">
      <c r="A6" s="3" t="s">
        <v>19</v>
      </c>
      <c r="B6" s="4">
        <v>3192053.1500000004</v>
      </c>
      <c r="C6" s="4">
        <v>126149.66999999998</v>
      </c>
      <c r="D6" s="6">
        <f t="shared" si="0"/>
        <v>3.951991526206259E-2</v>
      </c>
    </row>
    <row r="7" spans="1:4">
      <c r="A7" s="3" t="s">
        <v>69</v>
      </c>
      <c r="B7" s="4">
        <v>6978072.5999999987</v>
      </c>
      <c r="C7" s="4">
        <v>320958.13000000012</v>
      </c>
      <c r="D7" s="6">
        <f t="shared" si="0"/>
        <v>4.5995240863501506E-2</v>
      </c>
    </row>
    <row r="8" spans="1:4">
      <c r="A8" s="3" t="s">
        <v>1009</v>
      </c>
      <c r="B8">
        <v>20850066.350000001</v>
      </c>
      <c r="C8">
        <v>675411.54</v>
      </c>
    </row>
  </sheetData>
  <pageMargins left="0.7" right="0.7" top="0.75" bottom="0.75" header="0.3" footer="0.3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B6D043C-45D5-4E15-B0B3-FC58634C7476}">
  <dimension ref="A3:D18"/>
  <sheetViews>
    <sheetView workbookViewId="0">
      <selection activeCell="D4" sqref="D4:D17"/>
    </sheetView>
  </sheetViews>
  <sheetFormatPr defaultRowHeight="14.4"/>
  <cols>
    <col min="1" max="1" width="14.5546875" bestFit="1" customWidth="1"/>
    <col min="2" max="2" width="12" bestFit="1" customWidth="1"/>
    <col min="3" max="3" width="12.109375" bestFit="1" customWidth="1"/>
    <col min="4" max="4" width="14.5546875" customWidth="1"/>
  </cols>
  <sheetData>
    <row r="3" spans="1:4">
      <c r="A3" s="2" t="s">
        <v>5</v>
      </c>
      <c r="B3" t="s">
        <v>1022</v>
      </c>
      <c r="C3" t="s">
        <v>1023</v>
      </c>
      <c r="D3" t="s">
        <v>1026</v>
      </c>
    </row>
    <row r="4" spans="1:4">
      <c r="A4" s="3" t="s">
        <v>28</v>
      </c>
      <c r="B4" s="4">
        <v>2278957.0499999998</v>
      </c>
      <c r="C4" s="4">
        <v>18306.660000000014</v>
      </c>
      <c r="D4" s="6">
        <f>C4/B4</f>
        <v>8.0329113705762973E-3</v>
      </c>
    </row>
    <row r="5" spans="1:4">
      <c r="A5" s="3" t="s">
        <v>49</v>
      </c>
      <c r="B5" s="4">
        <v>2512176.6500000008</v>
      </c>
      <c r="C5" s="4">
        <v>20526.280000000006</v>
      </c>
      <c r="D5" s="6">
        <f t="shared" ref="D5:D17" si="0">C5/B5</f>
        <v>8.1707152241861647E-3</v>
      </c>
    </row>
    <row r="6" spans="1:4">
      <c r="A6" s="3" t="s">
        <v>85</v>
      </c>
      <c r="B6" s="4">
        <v>1252932.7999999998</v>
      </c>
      <c r="C6" s="4">
        <v>75336.789999999994</v>
      </c>
      <c r="D6" s="6">
        <f t="shared" si="0"/>
        <v>6.0128356444974544E-2</v>
      </c>
    </row>
    <row r="7" spans="1:4">
      <c r="A7" s="3" t="s">
        <v>18</v>
      </c>
      <c r="B7" s="4">
        <v>730465.09999999974</v>
      </c>
      <c r="C7" s="4">
        <v>60686.400000000016</v>
      </c>
      <c r="D7" s="6">
        <f t="shared" si="0"/>
        <v>8.307912315044215E-2</v>
      </c>
    </row>
    <row r="8" spans="1:4">
      <c r="A8" s="3" t="s">
        <v>104</v>
      </c>
      <c r="B8" s="4">
        <v>1073438.8</v>
      </c>
      <c r="C8" s="4">
        <v>52489.860000000008</v>
      </c>
      <c r="D8" s="6">
        <f t="shared" si="0"/>
        <v>4.8898791435524787E-2</v>
      </c>
    </row>
    <row r="9" spans="1:4">
      <c r="A9" s="3" t="s">
        <v>136</v>
      </c>
      <c r="B9" s="4">
        <v>1506320.9000000004</v>
      </c>
      <c r="C9" s="4">
        <v>87251.08</v>
      </c>
      <c r="D9" s="6">
        <f t="shared" si="0"/>
        <v>5.7923301734710032E-2</v>
      </c>
    </row>
    <row r="10" spans="1:4">
      <c r="A10" s="3" t="s">
        <v>68</v>
      </c>
      <c r="B10" s="4">
        <v>4218818.9000000004</v>
      </c>
      <c r="C10" s="4">
        <v>158370.25999999998</v>
      </c>
      <c r="D10" s="6">
        <f t="shared" si="0"/>
        <v>3.7539004103731489E-2</v>
      </c>
    </row>
    <row r="11" spans="1:4">
      <c r="A11" s="3" t="s">
        <v>88</v>
      </c>
      <c r="B11" s="4">
        <v>914800.95000000007</v>
      </c>
      <c r="C11" s="4">
        <v>6486.3</v>
      </c>
      <c r="D11" s="6">
        <f t="shared" si="0"/>
        <v>7.0903949104993823E-3</v>
      </c>
    </row>
    <row r="12" spans="1:4">
      <c r="A12" s="3" t="s">
        <v>57</v>
      </c>
      <c r="B12" s="4">
        <v>699124.29999999981</v>
      </c>
      <c r="C12" s="4">
        <v>21840.070000000003</v>
      </c>
      <c r="D12" s="6">
        <f t="shared" si="0"/>
        <v>3.1239180214448287E-2</v>
      </c>
    </row>
    <row r="13" spans="1:4">
      <c r="A13" s="3" t="s">
        <v>142</v>
      </c>
      <c r="B13" s="4">
        <v>755718.75</v>
      </c>
      <c r="C13" s="4">
        <v>33966.53</v>
      </c>
      <c r="D13" s="6">
        <f t="shared" si="0"/>
        <v>4.4945993466484722E-2</v>
      </c>
    </row>
    <row r="14" spans="1:4">
      <c r="A14" s="3" t="s">
        <v>37</v>
      </c>
      <c r="B14" s="4">
        <v>458240.75000000006</v>
      </c>
      <c r="C14" s="4">
        <v>1485.7100000000009</v>
      </c>
      <c r="D14" s="6">
        <f t="shared" si="0"/>
        <v>3.2422040161203488E-3</v>
      </c>
    </row>
    <row r="15" spans="1:4">
      <c r="A15" s="3" t="s">
        <v>96</v>
      </c>
      <c r="B15" s="4">
        <v>929908.50000000012</v>
      </c>
      <c r="C15" s="4">
        <v>11487.700000000004</v>
      </c>
      <c r="D15" s="6">
        <f t="shared" si="0"/>
        <v>1.2353581024369606E-2</v>
      </c>
    </row>
    <row r="16" spans="1:4">
      <c r="A16" s="3" t="s">
        <v>125</v>
      </c>
      <c r="B16" s="4">
        <v>1369847.8000000003</v>
      </c>
      <c r="C16" s="4">
        <v>47813.530000000006</v>
      </c>
      <c r="D16" s="6">
        <f t="shared" si="0"/>
        <v>3.4904264546762057E-2</v>
      </c>
    </row>
    <row r="17" spans="1:4">
      <c r="A17" s="3" t="s">
        <v>158</v>
      </c>
      <c r="B17" s="4">
        <v>2149315.0999999996</v>
      </c>
      <c r="C17" s="4">
        <v>79364.369999999981</v>
      </c>
      <c r="D17" s="6">
        <f t="shared" si="0"/>
        <v>3.6925423359283151E-2</v>
      </c>
    </row>
    <row r="18" spans="1:4">
      <c r="A18" s="3" t="s">
        <v>1009</v>
      </c>
      <c r="B18">
        <v>20850066.350000001</v>
      </c>
      <c r="C18">
        <v>675411.54</v>
      </c>
    </row>
  </sheetData>
  <pageMargins left="0.7" right="0.7" top="0.75" bottom="0.75" header="0.3" footer="0.3"/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30C71CC-E035-43D0-A2F1-F2B4FD705213}">
  <dimension ref="A3:D10"/>
  <sheetViews>
    <sheetView workbookViewId="0">
      <selection activeCell="D4" sqref="D4:D9"/>
    </sheetView>
  </sheetViews>
  <sheetFormatPr defaultRowHeight="14.4"/>
  <cols>
    <col min="1" max="1" width="18.109375" bestFit="1" customWidth="1"/>
    <col min="2" max="2" width="12" bestFit="1" customWidth="1"/>
    <col min="3" max="3" width="12.109375" bestFit="1" customWidth="1"/>
    <col min="4" max="4" width="14.88671875" customWidth="1"/>
  </cols>
  <sheetData>
    <row r="3" spans="1:4">
      <c r="A3" s="2" t="s">
        <v>12</v>
      </c>
      <c r="B3" s="4" t="s">
        <v>1022</v>
      </c>
      <c r="C3" s="4" t="s">
        <v>1023</v>
      </c>
      <c r="D3" t="s">
        <v>1026</v>
      </c>
    </row>
    <row r="4" spans="1:4">
      <c r="A4" s="3" t="s">
        <v>40</v>
      </c>
      <c r="B4" s="4">
        <v>4290585.8499999996</v>
      </c>
      <c r="C4" s="4">
        <v>178705.64999999994</v>
      </c>
      <c r="D4" s="6">
        <f>C4/B4</f>
        <v>4.1650640786036239E-2</v>
      </c>
    </row>
    <row r="5" spans="1:4">
      <c r="A5" s="3" t="s">
        <v>63</v>
      </c>
      <c r="B5" s="4">
        <v>5050213.4499999993</v>
      </c>
      <c r="C5" s="4">
        <v>76195.449999999983</v>
      </c>
      <c r="D5" s="6">
        <f t="shared" ref="D5:D9" si="0">C5/B5</f>
        <v>1.5087570209532429E-2</v>
      </c>
    </row>
    <row r="6" spans="1:4">
      <c r="A6" s="3" t="s">
        <v>90</v>
      </c>
      <c r="B6" s="4">
        <v>2554685.8499999996</v>
      </c>
      <c r="C6" s="4">
        <v>67239.090000000011</v>
      </c>
      <c r="D6" s="6">
        <f t="shared" si="0"/>
        <v>2.6319905439645356E-2</v>
      </c>
    </row>
    <row r="7" spans="1:4">
      <c r="A7" s="3" t="s">
        <v>52</v>
      </c>
      <c r="B7" s="4">
        <v>925894.45000000007</v>
      </c>
      <c r="C7" s="4">
        <v>40649.760000000009</v>
      </c>
      <c r="D7" s="6">
        <f t="shared" si="0"/>
        <v>4.3903233246510992E-2</v>
      </c>
    </row>
    <row r="8" spans="1:4">
      <c r="A8" s="3" t="s">
        <v>22</v>
      </c>
      <c r="B8" s="4">
        <v>7984688.7499999953</v>
      </c>
      <c r="C8" s="4">
        <v>307821.59000000014</v>
      </c>
      <c r="D8" s="6">
        <f t="shared" si="0"/>
        <v>3.8551482673635881E-2</v>
      </c>
    </row>
    <row r="9" spans="1:4">
      <c r="A9" s="3" t="s">
        <v>1024</v>
      </c>
      <c r="B9" s="4">
        <v>43998</v>
      </c>
      <c r="C9" s="4">
        <v>4800</v>
      </c>
      <c r="D9" s="6">
        <f t="shared" si="0"/>
        <v>0.10909586799399973</v>
      </c>
    </row>
    <row r="10" spans="1:4">
      <c r="A10" s="3" t="s">
        <v>1009</v>
      </c>
      <c r="B10">
        <v>20850066.349999994</v>
      </c>
      <c r="C10">
        <v>675411.54</v>
      </c>
    </row>
  </sheetData>
  <pageMargins left="0.7" right="0.7" top="0.75" bottom="0.75" header="0.3" footer="0.3"/>
  <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DD3EB37-EF55-4DBA-BE25-FB02F0614027}">
  <dimension ref="A3:D9"/>
  <sheetViews>
    <sheetView workbookViewId="0">
      <selection activeCell="D4" sqref="D4:D8"/>
    </sheetView>
  </sheetViews>
  <sheetFormatPr defaultRowHeight="14.4"/>
  <cols>
    <col min="1" max="1" width="12.5546875" bestFit="1" customWidth="1"/>
    <col min="2" max="2" width="12.88671875" bestFit="1" customWidth="1"/>
    <col min="3" max="3" width="12.109375" bestFit="1" customWidth="1"/>
    <col min="4" max="4" width="13.88671875" customWidth="1"/>
  </cols>
  <sheetData>
    <row r="3" spans="1:4">
      <c r="A3" s="2" t="s">
        <v>1025</v>
      </c>
      <c r="B3" s="4" t="s">
        <v>1022</v>
      </c>
      <c r="C3" t="s">
        <v>1023</v>
      </c>
      <c r="D3" t="s">
        <v>1026</v>
      </c>
    </row>
    <row r="4" spans="1:4">
      <c r="A4" s="3" t="s">
        <v>23</v>
      </c>
      <c r="B4" s="4">
        <v>1392248.45</v>
      </c>
      <c r="C4" s="4">
        <v>0</v>
      </c>
      <c r="D4" s="6">
        <f>C4/B4</f>
        <v>0</v>
      </c>
    </row>
    <row r="5" spans="1:4">
      <c r="A5" s="3" t="s">
        <v>32</v>
      </c>
      <c r="B5" s="4">
        <v>15426228.899999991</v>
      </c>
      <c r="C5" s="4">
        <v>759478.56999999948</v>
      </c>
      <c r="D5" s="6">
        <f t="shared" ref="D5:D8" si="0">C5/B5</f>
        <v>4.9232937934688623E-2</v>
      </c>
    </row>
    <row r="6" spans="1:4">
      <c r="A6" s="3" t="s">
        <v>41</v>
      </c>
      <c r="B6" s="4">
        <v>1146692.0500000003</v>
      </c>
      <c r="C6" s="4">
        <v>49169.510000000009</v>
      </c>
      <c r="D6" s="6">
        <f t="shared" si="0"/>
        <v>4.2879437421755907E-2</v>
      </c>
    </row>
    <row r="7" spans="1:4">
      <c r="A7" s="3" t="s">
        <v>75</v>
      </c>
      <c r="B7" s="4">
        <v>1522745.3</v>
      </c>
      <c r="C7" s="4">
        <v>-228411.7699999999</v>
      </c>
      <c r="D7" s="6">
        <f t="shared" si="0"/>
        <v>-0.14999998358228386</v>
      </c>
    </row>
    <row r="8" spans="1:4">
      <c r="A8" s="3" t="s">
        <v>130</v>
      </c>
      <c r="B8" s="4">
        <v>1362151.6500000004</v>
      </c>
      <c r="C8" s="4">
        <v>95175.23</v>
      </c>
      <c r="D8" s="6">
        <f t="shared" si="0"/>
        <v>6.9871243778179895E-2</v>
      </c>
    </row>
    <row r="9" spans="1:4">
      <c r="A9" s="3" t="s">
        <v>1009</v>
      </c>
      <c r="B9">
        <v>20850066.349999994</v>
      </c>
      <c r="C9">
        <v>675411.53999999957</v>
      </c>
    </row>
  </sheetData>
  <pageMargins left="0.7" right="0.7" top="0.75" bottom="0.75" header="0.3" footer="0.3"/>
  <drawing r:id="rId2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E166AC6-9681-49EC-9141-8F4657DCDAE7}">
  <dimension ref="A1:B6"/>
  <sheetViews>
    <sheetView workbookViewId="0">
      <selection sqref="A1:B6"/>
    </sheetView>
  </sheetViews>
  <sheetFormatPr defaultRowHeight="14.4"/>
  <cols>
    <col min="1" max="1" width="28.88671875" customWidth="1"/>
    <col min="2" max="2" width="16.77734375" customWidth="1"/>
    <col min="3" max="3" width="10.44140625" customWidth="1"/>
  </cols>
  <sheetData>
    <row r="1" spans="1:2" ht="21">
      <c r="A1" s="11" t="s">
        <v>1027</v>
      </c>
      <c r="B1" s="11"/>
    </row>
    <row r="3" spans="1:2">
      <c r="A3" s="7" t="s">
        <v>1028</v>
      </c>
      <c r="B3" s="8">
        <f>SUM(SalesData[Sales])</f>
        <v>20850066.350000001</v>
      </c>
    </row>
    <row r="4" spans="1:2">
      <c r="A4" s="7" t="s">
        <v>1029</v>
      </c>
      <c r="B4" s="8">
        <f>SUM(SalesData[Profit])</f>
        <v>675411.5399999998</v>
      </c>
    </row>
    <row r="5" spans="1:2">
      <c r="A5" s="7" t="s">
        <v>1030</v>
      </c>
      <c r="B5" s="9">
        <f>B4/B3</f>
        <v>3.2393735763819272E-2</v>
      </c>
    </row>
    <row r="6" spans="1:2">
      <c r="A6" s="7" t="s">
        <v>1031</v>
      </c>
      <c r="B6" s="10">
        <f>COUNTA(SalesData[Order ID])</f>
        <v>850</v>
      </c>
    </row>
  </sheetData>
  <mergeCells count="1">
    <mergeCell ref="A1:B1"/>
  </mergeCells>
  <pageMargins left="0.7" right="0.7" top="0.75" bottom="0.75" header="0.3" footer="0.3"/>
  <pageSetup orientation="portrait"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56E4920-E558-4B92-B4DF-0AAD2BF7CEAC}">
  <dimension ref="A1:B6"/>
  <sheetViews>
    <sheetView tabSelected="1" topLeftCell="A33" zoomScale="45" workbookViewId="0">
      <selection activeCell="V23" sqref="V23"/>
    </sheetView>
  </sheetViews>
  <sheetFormatPr defaultRowHeight="14.4"/>
  <cols>
    <col min="1" max="1" width="31.5546875" customWidth="1"/>
    <col min="2" max="2" width="23.21875" customWidth="1"/>
  </cols>
  <sheetData>
    <row r="1" spans="1:2" ht="23.4">
      <c r="A1" s="12" t="s">
        <v>1027</v>
      </c>
      <c r="B1" s="12"/>
    </row>
    <row r="3" spans="1:2">
      <c r="A3" s="7" t="s">
        <v>1028</v>
      </c>
      <c r="B3" s="8">
        <f>SUM(SalesData[Sales])</f>
        <v>20850066.350000001</v>
      </c>
    </row>
    <row r="4" spans="1:2">
      <c r="A4" s="7" t="s">
        <v>1029</v>
      </c>
      <c r="B4" s="8">
        <f>SUM(SalesData[Profit])</f>
        <v>675411.5399999998</v>
      </c>
    </row>
    <row r="5" spans="1:2">
      <c r="A5" s="7" t="s">
        <v>1030</v>
      </c>
      <c r="B5" s="9">
        <f>B4/B3</f>
        <v>3.2393735763819272E-2</v>
      </c>
    </row>
    <row r="6" spans="1:2">
      <c r="A6" s="7" t="s">
        <v>1031</v>
      </c>
      <c r="B6" s="10">
        <f>COUNTA(SalesData[Order ID])</f>
        <v>850</v>
      </c>
    </row>
  </sheetData>
  <mergeCells count="1">
    <mergeCell ref="A1:B1"/>
  </mergeCells>
  <pageMargins left="0.7" right="0.7" top="0.75" bottom="0.75" header="0.3" footer="0.3"/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6503E49-04DF-47B9-A213-586DEF8FDB4F}">
  <dimension ref="A1:N851"/>
  <sheetViews>
    <sheetView workbookViewId="0">
      <selection activeCell="D18" sqref="D18"/>
    </sheetView>
  </sheetViews>
  <sheetFormatPr defaultRowHeight="14.4"/>
  <cols>
    <col min="1" max="1" width="9.88671875" customWidth="1"/>
    <col min="2" max="2" width="13.5546875" customWidth="1"/>
    <col min="3" max="3" width="13.21875" customWidth="1"/>
    <col min="4" max="4" width="16.44140625" customWidth="1"/>
    <col min="8" max="8" width="15" customWidth="1"/>
    <col min="9" max="9" width="10.44140625" customWidth="1"/>
    <col min="11" max="11" width="10.21875" customWidth="1"/>
    <col min="13" max="13" width="17.6640625" customWidth="1"/>
    <col min="14" max="14" width="14.109375" customWidth="1"/>
    <col min="15" max="15" width="14.21875" customWidth="1"/>
  </cols>
  <sheetData>
    <row r="1" spans="1:14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</row>
    <row r="2" spans="1:14">
      <c r="A2" t="s">
        <v>14</v>
      </c>
      <c r="B2" s="1">
        <v>44993</v>
      </c>
      <c r="C2" t="s">
        <v>15</v>
      </c>
      <c r="D2" t="s">
        <v>16</v>
      </c>
      <c r="E2" t="s">
        <v>17</v>
      </c>
      <c r="F2" t="s">
        <v>18</v>
      </c>
      <c r="G2" t="s">
        <v>19</v>
      </c>
      <c r="H2" t="s">
        <v>20</v>
      </c>
      <c r="I2" t="s">
        <v>21</v>
      </c>
      <c r="J2">
        <v>3836.8</v>
      </c>
      <c r="K2">
        <v>4</v>
      </c>
      <c r="L2">
        <v>0</v>
      </c>
      <c r="M2" t="s">
        <v>22</v>
      </c>
      <c r="N2" t="s">
        <v>23</v>
      </c>
    </row>
    <row r="3" spans="1:14">
      <c r="A3" t="s">
        <v>24</v>
      </c>
      <c r="B3" s="1">
        <v>45080</v>
      </c>
      <c r="C3" t="s">
        <v>25</v>
      </c>
      <c r="D3" t="s">
        <v>26</v>
      </c>
      <c r="E3" t="s">
        <v>27</v>
      </c>
      <c r="F3" t="s">
        <v>28</v>
      </c>
      <c r="G3" t="s">
        <v>29</v>
      </c>
      <c r="H3" t="s">
        <v>30</v>
      </c>
      <c r="I3" t="s">
        <v>31</v>
      </c>
      <c r="J3">
        <v>1358.4</v>
      </c>
      <c r="K3">
        <v>2</v>
      </c>
      <c r="L3">
        <v>165.3</v>
      </c>
      <c r="M3" t="s">
        <v>22</v>
      </c>
      <c r="N3" t="s">
        <v>32</v>
      </c>
    </row>
    <row r="4" spans="1:14">
      <c r="A4" t="s">
        <v>33</v>
      </c>
      <c r="B4" s="1">
        <v>44970</v>
      </c>
      <c r="C4" t="s">
        <v>34</v>
      </c>
      <c r="D4" t="s">
        <v>35</v>
      </c>
      <c r="E4" t="s">
        <v>36</v>
      </c>
      <c r="F4" t="s">
        <v>37</v>
      </c>
      <c r="G4" t="s">
        <v>19</v>
      </c>
      <c r="H4" t="s">
        <v>38</v>
      </c>
      <c r="I4" t="s">
        <v>39</v>
      </c>
      <c r="J4">
        <v>424.15</v>
      </c>
      <c r="K4">
        <v>1</v>
      </c>
      <c r="L4">
        <v>103.86</v>
      </c>
      <c r="M4" t="s">
        <v>40</v>
      </c>
      <c r="N4" t="s">
        <v>41</v>
      </c>
    </row>
    <row r="5" spans="1:14">
      <c r="A5" t="s">
        <v>42</v>
      </c>
      <c r="B5" s="1">
        <v>45036</v>
      </c>
      <c r="C5" t="s">
        <v>43</v>
      </c>
      <c r="D5" t="s">
        <v>44</v>
      </c>
      <c r="E5" t="s">
        <v>36</v>
      </c>
      <c r="F5" t="s">
        <v>37</v>
      </c>
      <c r="G5" t="s">
        <v>19</v>
      </c>
      <c r="H5" t="s">
        <v>45</v>
      </c>
      <c r="I5" t="s">
        <v>21</v>
      </c>
      <c r="J5">
        <v>5196</v>
      </c>
      <c r="K5">
        <v>4</v>
      </c>
      <c r="L5">
        <v>1280</v>
      </c>
      <c r="M5" t="s">
        <v>40</v>
      </c>
      <c r="N5" t="s">
        <v>32</v>
      </c>
    </row>
    <row r="6" spans="1:14">
      <c r="A6" t="s">
        <v>46</v>
      </c>
      <c r="B6" s="1">
        <v>45259</v>
      </c>
      <c r="C6" t="s">
        <v>47</v>
      </c>
      <c r="D6" t="s">
        <v>48</v>
      </c>
      <c r="E6" t="s">
        <v>49</v>
      </c>
      <c r="F6" t="s">
        <v>49</v>
      </c>
      <c r="G6" t="s">
        <v>50</v>
      </c>
      <c r="H6" t="s">
        <v>51</v>
      </c>
      <c r="I6" t="s">
        <v>31</v>
      </c>
      <c r="J6">
        <v>35996</v>
      </c>
      <c r="K6">
        <v>4</v>
      </c>
      <c r="L6">
        <v>4800</v>
      </c>
      <c r="M6" t="s">
        <v>52</v>
      </c>
      <c r="N6" t="s">
        <v>32</v>
      </c>
    </row>
    <row r="7" spans="1:14">
      <c r="A7" t="s">
        <v>53</v>
      </c>
      <c r="B7" s="1">
        <v>45215</v>
      </c>
      <c r="C7" t="s">
        <v>54</v>
      </c>
      <c r="D7" t="s">
        <v>55</v>
      </c>
      <c r="E7" t="s">
        <v>56</v>
      </c>
      <c r="F7" t="s">
        <v>57</v>
      </c>
      <c r="G7" t="s">
        <v>50</v>
      </c>
      <c r="H7" t="s">
        <v>58</v>
      </c>
      <c r="I7" t="s">
        <v>59</v>
      </c>
      <c r="J7">
        <v>1795.5</v>
      </c>
      <c r="K7">
        <v>2</v>
      </c>
      <c r="L7">
        <v>349.12</v>
      </c>
      <c r="M7" t="s">
        <v>40</v>
      </c>
      <c r="N7" t="s">
        <v>32</v>
      </c>
    </row>
    <row r="8" spans="1:14">
      <c r="A8" t="s">
        <v>60</v>
      </c>
      <c r="B8" s="1">
        <v>44932</v>
      </c>
      <c r="C8" t="s">
        <v>61</v>
      </c>
      <c r="D8" t="s">
        <v>62</v>
      </c>
      <c r="E8" t="s">
        <v>36</v>
      </c>
      <c r="F8" t="s">
        <v>37</v>
      </c>
      <c r="G8" t="s">
        <v>19</v>
      </c>
      <c r="H8" t="s">
        <v>30</v>
      </c>
      <c r="I8" t="s">
        <v>31</v>
      </c>
      <c r="J8">
        <v>1443.3</v>
      </c>
      <c r="K8">
        <v>2</v>
      </c>
      <c r="L8">
        <v>228.98</v>
      </c>
      <c r="M8" t="s">
        <v>63</v>
      </c>
      <c r="N8" t="s">
        <v>32</v>
      </c>
    </row>
    <row r="9" spans="1:14">
      <c r="A9" t="s">
        <v>64</v>
      </c>
      <c r="B9" s="1">
        <v>45226</v>
      </c>
      <c r="C9" t="s">
        <v>65</v>
      </c>
      <c r="D9" t="s">
        <v>66</v>
      </c>
      <c r="E9" t="s">
        <v>67</v>
      </c>
      <c r="F9" t="s">
        <v>68</v>
      </c>
      <c r="G9" t="s">
        <v>69</v>
      </c>
      <c r="H9" t="s">
        <v>70</v>
      </c>
      <c r="I9" t="s">
        <v>39</v>
      </c>
      <c r="J9">
        <v>1560</v>
      </c>
      <c r="K9">
        <v>2</v>
      </c>
      <c r="L9">
        <v>480</v>
      </c>
      <c r="M9" t="s">
        <v>40</v>
      </c>
      <c r="N9" t="s">
        <v>32</v>
      </c>
    </row>
    <row r="10" spans="1:14">
      <c r="A10" t="s">
        <v>71</v>
      </c>
      <c r="B10" s="1">
        <v>45241</v>
      </c>
      <c r="C10" t="s">
        <v>72</v>
      </c>
      <c r="D10" t="s">
        <v>73</v>
      </c>
      <c r="E10" t="s">
        <v>49</v>
      </c>
      <c r="F10" t="s">
        <v>49</v>
      </c>
      <c r="G10" t="s">
        <v>50</v>
      </c>
      <c r="H10" t="s">
        <v>74</v>
      </c>
      <c r="I10" t="s">
        <v>31</v>
      </c>
      <c r="J10">
        <v>111121.5</v>
      </c>
      <c r="K10">
        <v>3</v>
      </c>
      <c r="L10">
        <v>-16668.22</v>
      </c>
      <c r="M10" t="s">
        <v>22</v>
      </c>
      <c r="N10" t="s">
        <v>75</v>
      </c>
    </row>
    <row r="11" spans="1:14">
      <c r="A11" t="s">
        <v>76</v>
      </c>
      <c r="B11" s="1">
        <v>45257</v>
      </c>
      <c r="C11" t="s">
        <v>77</v>
      </c>
      <c r="D11" t="s">
        <v>78</v>
      </c>
      <c r="E11" t="s">
        <v>49</v>
      </c>
      <c r="F11" t="s">
        <v>49</v>
      </c>
      <c r="G11" t="s">
        <v>50</v>
      </c>
      <c r="H11" t="s">
        <v>79</v>
      </c>
      <c r="I11" t="s">
        <v>31</v>
      </c>
      <c r="J11">
        <v>134368</v>
      </c>
      <c r="K11">
        <v>4</v>
      </c>
      <c r="L11">
        <v>-7194</v>
      </c>
      <c r="M11" t="s">
        <v>63</v>
      </c>
      <c r="N11" t="s">
        <v>32</v>
      </c>
    </row>
    <row r="12" spans="1:14">
      <c r="A12" t="s">
        <v>80</v>
      </c>
      <c r="B12" s="1">
        <v>44941</v>
      </c>
      <c r="C12" t="s">
        <v>81</v>
      </c>
      <c r="D12" t="s">
        <v>82</v>
      </c>
      <c r="E12" t="s">
        <v>67</v>
      </c>
      <c r="F12" t="s">
        <v>68</v>
      </c>
      <c r="G12" t="s">
        <v>69</v>
      </c>
      <c r="H12" t="s">
        <v>70</v>
      </c>
      <c r="I12" t="s">
        <v>39</v>
      </c>
      <c r="J12">
        <v>741</v>
      </c>
      <c r="K12">
        <v>1</v>
      </c>
      <c r="L12">
        <v>210.75</v>
      </c>
      <c r="M12" t="s">
        <v>22</v>
      </c>
      <c r="N12" t="s">
        <v>32</v>
      </c>
    </row>
    <row r="13" spans="1:14">
      <c r="A13" t="s">
        <v>83</v>
      </c>
      <c r="B13" s="1">
        <v>45021</v>
      </c>
      <c r="C13" t="s">
        <v>72</v>
      </c>
      <c r="D13" t="s">
        <v>73</v>
      </c>
      <c r="E13" t="s">
        <v>84</v>
      </c>
      <c r="F13" t="s">
        <v>85</v>
      </c>
      <c r="G13" t="s">
        <v>69</v>
      </c>
      <c r="H13" t="s">
        <v>30</v>
      </c>
      <c r="I13" t="s">
        <v>31</v>
      </c>
      <c r="J13">
        <v>1443.3</v>
      </c>
      <c r="K13">
        <v>2</v>
      </c>
      <c r="L13">
        <v>228.98</v>
      </c>
      <c r="M13" t="s">
        <v>63</v>
      </c>
      <c r="N13" t="s">
        <v>32</v>
      </c>
    </row>
    <row r="14" spans="1:14">
      <c r="A14" t="s">
        <v>86</v>
      </c>
      <c r="B14" s="1">
        <v>44942</v>
      </c>
      <c r="C14" t="s">
        <v>77</v>
      </c>
      <c r="D14" t="s">
        <v>78</v>
      </c>
      <c r="E14" t="s">
        <v>87</v>
      </c>
      <c r="F14" t="s">
        <v>88</v>
      </c>
      <c r="G14" t="s">
        <v>29</v>
      </c>
      <c r="H14" t="s">
        <v>89</v>
      </c>
      <c r="I14" t="s">
        <v>21</v>
      </c>
      <c r="J14">
        <v>4317.6000000000004</v>
      </c>
      <c r="K14">
        <v>3</v>
      </c>
      <c r="L14">
        <v>330.45</v>
      </c>
      <c r="M14" t="s">
        <v>90</v>
      </c>
      <c r="N14" t="s">
        <v>32</v>
      </c>
    </row>
    <row r="15" spans="1:14">
      <c r="A15" t="s">
        <v>91</v>
      </c>
      <c r="B15" s="1">
        <v>44963</v>
      </c>
      <c r="C15" t="s">
        <v>34</v>
      </c>
      <c r="D15" t="s">
        <v>35</v>
      </c>
      <c r="E15" t="s">
        <v>67</v>
      </c>
      <c r="F15" t="s">
        <v>68</v>
      </c>
      <c r="G15" t="s">
        <v>69</v>
      </c>
      <c r="H15" t="s">
        <v>92</v>
      </c>
      <c r="I15" t="s">
        <v>93</v>
      </c>
      <c r="J15">
        <v>3998.4</v>
      </c>
      <c r="K15">
        <v>2</v>
      </c>
      <c r="L15">
        <v>550.29999999999995</v>
      </c>
      <c r="M15" t="s">
        <v>22</v>
      </c>
      <c r="N15" t="s">
        <v>32</v>
      </c>
    </row>
    <row r="16" spans="1:14">
      <c r="A16" t="s">
        <v>94</v>
      </c>
      <c r="B16" s="1">
        <v>45183</v>
      </c>
      <c r="C16" t="s">
        <v>54</v>
      </c>
      <c r="D16" t="s">
        <v>55</v>
      </c>
      <c r="E16" t="s">
        <v>95</v>
      </c>
      <c r="F16" t="s">
        <v>96</v>
      </c>
      <c r="G16" t="s">
        <v>19</v>
      </c>
      <c r="H16" t="s">
        <v>89</v>
      </c>
      <c r="I16" t="s">
        <v>21</v>
      </c>
      <c r="J16">
        <v>4857.3</v>
      </c>
      <c r="K16">
        <v>3</v>
      </c>
      <c r="L16">
        <v>-728.6</v>
      </c>
      <c r="M16" t="s">
        <v>63</v>
      </c>
      <c r="N16" t="s">
        <v>75</v>
      </c>
    </row>
    <row r="17" spans="1:14">
      <c r="A17" t="s">
        <v>97</v>
      </c>
      <c r="B17" s="1">
        <v>45255</v>
      </c>
      <c r="C17" t="s">
        <v>77</v>
      </c>
      <c r="D17" t="s">
        <v>78</v>
      </c>
      <c r="E17" t="s">
        <v>98</v>
      </c>
      <c r="F17" t="s">
        <v>68</v>
      </c>
      <c r="G17" t="s">
        <v>69</v>
      </c>
      <c r="H17" t="s">
        <v>99</v>
      </c>
      <c r="I17" t="s">
        <v>21</v>
      </c>
      <c r="J17">
        <v>1358.3</v>
      </c>
      <c r="K17">
        <v>2</v>
      </c>
      <c r="L17">
        <v>0</v>
      </c>
      <c r="M17" t="s">
        <v>63</v>
      </c>
      <c r="N17" t="s">
        <v>23</v>
      </c>
    </row>
    <row r="18" spans="1:14">
      <c r="A18" t="s">
        <v>100</v>
      </c>
      <c r="B18" s="1">
        <v>45169</v>
      </c>
      <c r="C18" t="s">
        <v>101</v>
      </c>
      <c r="D18" t="s">
        <v>102</v>
      </c>
      <c r="E18" t="s">
        <v>103</v>
      </c>
      <c r="F18" t="s">
        <v>104</v>
      </c>
      <c r="G18" t="s">
        <v>19</v>
      </c>
      <c r="H18" t="s">
        <v>105</v>
      </c>
      <c r="I18" t="s">
        <v>59</v>
      </c>
      <c r="J18">
        <v>10624.15</v>
      </c>
      <c r="K18">
        <v>1</v>
      </c>
      <c r="L18">
        <v>-2856.14</v>
      </c>
      <c r="M18" t="s">
        <v>52</v>
      </c>
      <c r="N18" t="s">
        <v>32</v>
      </c>
    </row>
    <row r="19" spans="1:14">
      <c r="A19" t="s">
        <v>106</v>
      </c>
      <c r="B19" s="1">
        <v>45267</v>
      </c>
      <c r="C19" t="s">
        <v>65</v>
      </c>
      <c r="D19" t="s">
        <v>66</v>
      </c>
      <c r="E19" t="s">
        <v>95</v>
      </c>
      <c r="F19" t="s">
        <v>96</v>
      </c>
      <c r="G19" t="s">
        <v>19</v>
      </c>
      <c r="H19" t="s">
        <v>51</v>
      </c>
      <c r="I19" t="s">
        <v>31</v>
      </c>
      <c r="J19">
        <v>8099.1</v>
      </c>
      <c r="K19">
        <v>1</v>
      </c>
      <c r="L19">
        <v>525.07000000000005</v>
      </c>
      <c r="M19" t="s">
        <v>63</v>
      </c>
      <c r="N19" t="s">
        <v>32</v>
      </c>
    </row>
    <row r="20" spans="1:14">
      <c r="A20" t="s">
        <v>107</v>
      </c>
      <c r="B20" s="1">
        <v>45206</v>
      </c>
      <c r="C20" t="s">
        <v>54</v>
      </c>
      <c r="D20" t="s">
        <v>55</v>
      </c>
      <c r="E20" t="s">
        <v>87</v>
      </c>
      <c r="F20" t="s">
        <v>88</v>
      </c>
      <c r="G20" t="s">
        <v>29</v>
      </c>
      <c r="H20" t="s">
        <v>58</v>
      </c>
      <c r="I20" t="s">
        <v>59</v>
      </c>
      <c r="J20">
        <v>3213</v>
      </c>
      <c r="K20">
        <v>4</v>
      </c>
      <c r="L20">
        <v>414.75</v>
      </c>
      <c r="M20" t="s">
        <v>22</v>
      </c>
      <c r="N20" t="s">
        <v>32</v>
      </c>
    </row>
    <row r="21" spans="1:14">
      <c r="A21" t="s">
        <v>108</v>
      </c>
      <c r="B21" s="1">
        <v>45249</v>
      </c>
      <c r="C21" t="s">
        <v>81</v>
      </c>
      <c r="D21" t="s">
        <v>82</v>
      </c>
      <c r="E21" t="s">
        <v>95</v>
      </c>
      <c r="F21" t="s">
        <v>96</v>
      </c>
      <c r="G21" t="s">
        <v>19</v>
      </c>
      <c r="H21" t="s">
        <v>109</v>
      </c>
      <c r="I21" t="s">
        <v>31</v>
      </c>
      <c r="J21">
        <v>109980</v>
      </c>
      <c r="K21">
        <v>2</v>
      </c>
      <c r="L21">
        <v>0</v>
      </c>
      <c r="M21" t="s">
        <v>40</v>
      </c>
      <c r="N21" t="s">
        <v>23</v>
      </c>
    </row>
    <row r="22" spans="1:14">
      <c r="A22" t="s">
        <v>110</v>
      </c>
      <c r="B22" s="1">
        <v>45213</v>
      </c>
      <c r="C22" t="s">
        <v>72</v>
      </c>
      <c r="D22" t="s">
        <v>73</v>
      </c>
      <c r="E22" t="s">
        <v>84</v>
      </c>
      <c r="F22" t="s">
        <v>85</v>
      </c>
      <c r="G22" t="s">
        <v>69</v>
      </c>
      <c r="H22" t="s">
        <v>111</v>
      </c>
      <c r="I22" t="s">
        <v>59</v>
      </c>
      <c r="J22">
        <v>1798</v>
      </c>
      <c r="K22">
        <v>2</v>
      </c>
      <c r="L22">
        <v>-240</v>
      </c>
      <c r="M22" t="s">
        <v>22</v>
      </c>
      <c r="N22" t="s">
        <v>32</v>
      </c>
    </row>
    <row r="23" spans="1:14">
      <c r="A23" t="s">
        <v>112</v>
      </c>
      <c r="B23" s="1">
        <v>44952</v>
      </c>
      <c r="C23" t="s">
        <v>113</v>
      </c>
      <c r="D23" t="s">
        <v>114</v>
      </c>
      <c r="E23" t="s">
        <v>98</v>
      </c>
      <c r="F23" t="s">
        <v>68</v>
      </c>
      <c r="G23" t="s">
        <v>69</v>
      </c>
      <c r="H23" t="s">
        <v>115</v>
      </c>
      <c r="I23" t="s">
        <v>93</v>
      </c>
      <c r="J23">
        <v>4796</v>
      </c>
      <c r="K23">
        <v>4</v>
      </c>
      <c r="L23">
        <v>1160</v>
      </c>
      <c r="M23" t="s">
        <v>22</v>
      </c>
      <c r="N23" t="s">
        <v>32</v>
      </c>
    </row>
    <row r="24" spans="1:14">
      <c r="A24" t="s">
        <v>116</v>
      </c>
      <c r="B24" s="1">
        <v>45282</v>
      </c>
      <c r="C24" t="s">
        <v>81</v>
      </c>
      <c r="D24" t="s">
        <v>82</v>
      </c>
      <c r="E24" t="s">
        <v>17</v>
      </c>
      <c r="F24" t="s">
        <v>18</v>
      </c>
      <c r="G24" t="s">
        <v>19</v>
      </c>
      <c r="H24" t="s">
        <v>117</v>
      </c>
      <c r="I24" t="s">
        <v>93</v>
      </c>
      <c r="J24">
        <v>9196</v>
      </c>
      <c r="K24">
        <v>4</v>
      </c>
      <c r="L24">
        <v>0</v>
      </c>
      <c r="M24" t="s">
        <v>40</v>
      </c>
      <c r="N24" t="s">
        <v>23</v>
      </c>
    </row>
    <row r="25" spans="1:14">
      <c r="A25" t="s">
        <v>118</v>
      </c>
      <c r="B25" s="1">
        <v>45040</v>
      </c>
      <c r="C25" t="s">
        <v>119</v>
      </c>
      <c r="D25" t="s">
        <v>120</v>
      </c>
      <c r="E25" t="s">
        <v>17</v>
      </c>
      <c r="F25" t="s">
        <v>18</v>
      </c>
      <c r="G25" t="s">
        <v>19</v>
      </c>
      <c r="H25" t="s">
        <v>115</v>
      </c>
      <c r="I25" t="s">
        <v>93</v>
      </c>
      <c r="J25">
        <v>4556.2</v>
      </c>
      <c r="K25">
        <v>4</v>
      </c>
      <c r="L25">
        <v>980.15</v>
      </c>
      <c r="M25" t="s">
        <v>63</v>
      </c>
      <c r="N25" t="s">
        <v>32</v>
      </c>
    </row>
    <row r="26" spans="1:14">
      <c r="A26" t="s">
        <v>121</v>
      </c>
      <c r="B26" s="1">
        <v>45018</v>
      </c>
      <c r="C26" t="s">
        <v>122</v>
      </c>
      <c r="D26" t="s">
        <v>123</v>
      </c>
      <c r="E26" t="s">
        <v>124</v>
      </c>
      <c r="F26" t="s">
        <v>125</v>
      </c>
      <c r="G26" t="s">
        <v>50</v>
      </c>
      <c r="H26" t="s">
        <v>126</v>
      </c>
      <c r="I26" t="s">
        <v>21</v>
      </c>
      <c r="J26">
        <v>75998.100000000006</v>
      </c>
      <c r="K26">
        <v>2</v>
      </c>
      <c r="L26">
        <v>-11399.72</v>
      </c>
      <c r="M26" t="s">
        <v>40</v>
      </c>
      <c r="N26" t="s">
        <v>75</v>
      </c>
    </row>
    <row r="27" spans="1:14">
      <c r="A27" t="s">
        <v>127</v>
      </c>
      <c r="B27" s="1">
        <v>44930</v>
      </c>
      <c r="C27" t="s">
        <v>113</v>
      </c>
      <c r="D27" t="s">
        <v>114</v>
      </c>
      <c r="E27" t="s">
        <v>103</v>
      </c>
      <c r="F27" t="s">
        <v>104</v>
      </c>
      <c r="G27" t="s">
        <v>19</v>
      </c>
      <c r="H27" t="s">
        <v>128</v>
      </c>
      <c r="I27" t="s">
        <v>31</v>
      </c>
      <c r="J27">
        <v>5382</v>
      </c>
      <c r="K27">
        <v>4</v>
      </c>
      <c r="L27">
        <v>951.5</v>
      </c>
      <c r="M27" t="s">
        <v>52</v>
      </c>
      <c r="N27" t="s">
        <v>32</v>
      </c>
    </row>
    <row r="28" spans="1:14">
      <c r="A28" t="s">
        <v>129</v>
      </c>
      <c r="B28" s="1">
        <v>45187</v>
      </c>
      <c r="C28" t="s">
        <v>119</v>
      </c>
      <c r="D28" t="s">
        <v>120</v>
      </c>
      <c r="E28" t="s">
        <v>36</v>
      </c>
      <c r="F28" t="s">
        <v>37</v>
      </c>
      <c r="G28" t="s">
        <v>19</v>
      </c>
      <c r="H28" t="s">
        <v>128</v>
      </c>
      <c r="I28" t="s">
        <v>31</v>
      </c>
      <c r="J28">
        <v>4260.75</v>
      </c>
      <c r="K28">
        <v>3</v>
      </c>
      <c r="L28">
        <v>881.81</v>
      </c>
      <c r="M28" t="s">
        <v>52</v>
      </c>
      <c r="N28" t="s">
        <v>130</v>
      </c>
    </row>
    <row r="29" spans="1:14">
      <c r="A29" t="s">
        <v>131</v>
      </c>
      <c r="B29" s="1">
        <v>44993</v>
      </c>
      <c r="C29" t="s">
        <v>132</v>
      </c>
      <c r="D29" t="s">
        <v>133</v>
      </c>
      <c r="E29" t="s">
        <v>67</v>
      </c>
      <c r="F29" t="s">
        <v>68</v>
      </c>
      <c r="G29" t="s">
        <v>69</v>
      </c>
      <c r="H29" t="s">
        <v>92</v>
      </c>
      <c r="I29" t="s">
        <v>93</v>
      </c>
      <c r="J29">
        <v>2374.0500000000002</v>
      </c>
      <c r="K29">
        <v>1</v>
      </c>
      <c r="L29">
        <v>556.29</v>
      </c>
      <c r="M29" t="s">
        <v>22</v>
      </c>
      <c r="N29" t="s">
        <v>130</v>
      </c>
    </row>
    <row r="30" spans="1:14">
      <c r="A30" t="s">
        <v>134</v>
      </c>
      <c r="B30" s="1">
        <v>45218</v>
      </c>
      <c r="C30" t="s">
        <v>81</v>
      </c>
      <c r="D30" t="s">
        <v>82</v>
      </c>
      <c r="E30" t="s">
        <v>135</v>
      </c>
      <c r="F30" t="s">
        <v>136</v>
      </c>
      <c r="G30" t="s">
        <v>69</v>
      </c>
      <c r="H30" t="s">
        <v>137</v>
      </c>
      <c r="I30" t="s">
        <v>93</v>
      </c>
      <c r="J30">
        <v>1611</v>
      </c>
      <c r="K30">
        <v>1</v>
      </c>
      <c r="L30">
        <v>255.75</v>
      </c>
      <c r="M30" t="s">
        <v>40</v>
      </c>
      <c r="N30" t="s">
        <v>41</v>
      </c>
    </row>
    <row r="31" spans="1:14">
      <c r="A31" t="s">
        <v>138</v>
      </c>
      <c r="B31" s="1">
        <v>45092</v>
      </c>
      <c r="C31" t="s">
        <v>43</v>
      </c>
      <c r="D31" t="s">
        <v>44</v>
      </c>
      <c r="E31" t="s">
        <v>67</v>
      </c>
      <c r="F31" t="s">
        <v>68</v>
      </c>
      <c r="G31" t="s">
        <v>69</v>
      </c>
      <c r="H31" t="s">
        <v>38</v>
      </c>
      <c r="I31" t="s">
        <v>39</v>
      </c>
      <c r="J31">
        <v>1497</v>
      </c>
      <c r="K31">
        <v>3</v>
      </c>
      <c r="L31">
        <v>480</v>
      </c>
      <c r="M31" t="s">
        <v>22</v>
      </c>
      <c r="N31" t="s">
        <v>130</v>
      </c>
    </row>
    <row r="32" spans="1:14">
      <c r="A32" t="s">
        <v>139</v>
      </c>
      <c r="B32" s="1">
        <v>45138</v>
      </c>
      <c r="C32" t="s">
        <v>65</v>
      </c>
      <c r="E32" t="s">
        <v>17</v>
      </c>
      <c r="F32" t="s">
        <v>18</v>
      </c>
      <c r="G32" t="s">
        <v>19</v>
      </c>
      <c r="H32" t="s">
        <v>58</v>
      </c>
      <c r="I32" t="s">
        <v>59</v>
      </c>
      <c r="J32">
        <v>850.5</v>
      </c>
      <c r="K32">
        <v>1</v>
      </c>
      <c r="L32">
        <v>139.12</v>
      </c>
      <c r="M32" t="s">
        <v>63</v>
      </c>
      <c r="N32" t="s">
        <v>32</v>
      </c>
    </row>
    <row r="33" spans="1:14">
      <c r="A33" t="s">
        <v>140</v>
      </c>
      <c r="B33" s="1">
        <v>45137</v>
      </c>
      <c r="C33" t="s">
        <v>43</v>
      </c>
      <c r="D33" t="s">
        <v>44</v>
      </c>
      <c r="E33" t="s">
        <v>141</v>
      </c>
      <c r="F33" t="s">
        <v>142</v>
      </c>
      <c r="G33" t="s">
        <v>50</v>
      </c>
      <c r="H33" t="s">
        <v>143</v>
      </c>
      <c r="I33" t="s">
        <v>59</v>
      </c>
      <c r="J33">
        <v>10236.799999999999</v>
      </c>
      <c r="K33">
        <v>4</v>
      </c>
      <c r="L33">
        <v>280.60000000000002</v>
      </c>
      <c r="M33" t="s">
        <v>40</v>
      </c>
      <c r="N33" t="s">
        <v>41</v>
      </c>
    </row>
    <row r="34" spans="1:14">
      <c r="A34" t="s">
        <v>144</v>
      </c>
      <c r="B34" s="1">
        <v>45220</v>
      </c>
      <c r="C34" t="s">
        <v>145</v>
      </c>
      <c r="D34" t="s">
        <v>146</v>
      </c>
      <c r="E34" t="s">
        <v>135</v>
      </c>
      <c r="F34" t="s">
        <v>136</v>
      </c>
      <c r="G34" t="s">
        <v>69</v>
      </c>
      <c r="H34" t="s">
        <v>147</v>
      </c>
      <c r="I34" t="s">
        <v>93</v>
      </c>
      <c r="J34">
        <v>1699.15</v>
      </c>
      <c r="K34">
        <v>1</v>
      </c>
      <c r="L34">
        <v>295.11</v>
      </c>
      <c r="M34" t="s">
        <v>40</v>
      </c>
      <c r="N34" t="s">
        <v>130</v>
      </c>
    </row>
    <row r="35" spans="1:14">
      <c r="A35" t="s">
        <v>148</v>
      </c>
      <c r="B35" s="1">
        <v>45108</v>
      </c>
      <c r="C35" t="s">
        <v>149</v>
      </c>
      <c r="D35" t="s">
        <v>150</v>
      </c>
      <c r="E35" t="s">
        <v>135</v>
      </c>
      <c r="F35" t="s">
        <v>136</v>
      </c>
      <c r="G35" t="s">
        <v>69</v>
      </c>
      <c r="H35" t="s">
        <v>147</v>
      </c>
      <c r="I35" t="s">
        <v>93</v>
      </c>
      <c r="J35">
        <v>1999</v>
      </c>
      <c r="K35">
        <v>1</v>
      </c>
      <c r="L35">
        <v>520</v>
      </c>
      <c r="M35" t="s">
        <v>40</v>
      </c>
      <c r="N35" t="s">
        <v>32</v>
      </c>
    </row>
    <row r="36" spans="1:14">
      <c r="A36" t="s">
        <v>151</v>
      </c>
      <c r="B36" s="1">
        <v>45254</v>
      </c>
      <c r="C36" t="s">
        <v>81</v>
      </c>
      <c r="D36" t="s">
        <v>82</v>
      </c>
      <c r="E36" t="s">
        <v>67</v>
      </c>
      <c r="F36" t="s">
        <v>68</v>
      </c>
      <c r="G36" t="s">
        <v>69</v>
      </c>
      <c r="H36" t="s">
        <v>20</v>
      </c>
      <c r="I36" t="s">
        <v>21</v>
      </c>
      <c r="J36">
        <v>1139.05</v>
      </c>
      <c r="K36">
        <v>1</v>
      </c>
      <c r="L36">
        <v>215.04</v>
      </c>
      <c r="M36" t="s">
        <v>63</v>
      </c>
      <c r="N36" t="s">
        <v>32</v>
      </c>
    </row>
    <row r="37" spans="1:14">
      <c r="A37" t="s">
        <v>152</v>
      </c>
      <c r="B37" s="1">
        <v>45059</v>
      </c>
      <c r="C37" t="s">
        <v>43</v>
      </c>
      <c r="D37" t="s">
        <v>44</v>
      </c>
      <c r="E37" t="s">
        <v>124</v>
      </c>
      <c r="F37" t="s">
        <v>125</v>
      </c>
      <c r="G37" t="s">
        <v>50</v>
      </c>
      <c r="H37" t="s">
        <v>117</v>
      </c>
      <c r="I37" t="s">
        <v>93</v>
      </c>
      <c r="J37">
        <v>6207.3</v>
      </c>
      <c r="K37">
        <v>3</v>
      </c>
      <c r="L37">
        <v>-1057.28</v>
      </c>
      <c r="M37" t="s">
        <v>22</v>
      </c>
      <c r="N37" t="s">
        <v>32</v>
      </c>
    </row>
    <row r="38" spans="1:14">
      <c r="A38" t="s">
        <v>153</v>
      </c>
      <c r="B38" s="1">
        <v>45283</v>
      </c>
      <c r="C38" t="s">
        <v>65</v>
      </c>
      <c r="D38" t="s">
        <v>66</v>
      </c>
      <c r="E38" t="s">
        <v>141</v>
      </c>
      <c r="F38" t="s">
        <v>142</v>
      </c>
      <c r="G38" t="s">
        <v>50</v>
      </c>
      <c r="H38" t="s">
        <v>154</v>
      </c>
      <c r="I38" t="s">
        <v>93</v>
      </c>
      <c r="J38">
        <v>5180</v>
      </c>
      <c r="K38">
        <v>4</v>
      </c>
      <c r="L38">
        <v>1240</v>
      </c>
      <c r="M38" t="s">
        <v>22</v>
      </c>
      <c r="N38" t="s">
        <v>32</v>
      </c>
    </row>
    <row r="39" spans="1:14">
      <c r="A39" t="s">
        <v>155</v>
      </c>
      <c r="B39" s="1">
        <v>44970</v>
      </c>
      <c r="C39" t="s">
        <v>145</v>
      </c>
      <c r="D39" t="s">
        <v>146</v>
      </c>
      <c r="E39" t="s">
        <v>98</v>
      </c>
      <c r="F39" t="s">
        <v>68</v>
      </c>
      <c r="G39" t="s">
        <v>69</v>
      </c>
      <c r="H39" t="s">
        <v>92</v>
      </c>
      <c r="I39" t="s">
        <v>93</v>
      </c>
      <c r="J39">
        <v>7122.15</v>
      </c>
      <c r="K39">
        <v>3</v>
      </c>
      <c r="L39">
        <v>1668.86</v>
      </c>
      <c r="M39" t="s">
        <v>90</v>
      </c>
      <c r="N39" t="s">
        <v>32</v>
      </c>
    </row>
    <row r="40" spans="1:14">
      <c r="A40" t="s">
        <v>156</v>
      </c>
      <c r="B40" s="1">
        <v>44994</v>
      </c>
      <c r="C40" t="s">
        <v>65</v>
      </c>
      <c r="D40" t="s">
        <v>66</v>
      </c>
      <c r="E40" t="s">
        <v>157</v>
      </c>
      <c r="F40" t="s">
        <v>158</v>
      </c>
      <c r="G40" t="s">
        <v>29</v>
      </c>
      <c r="H40" t="s">
        <v>147</v>
      </c>
      <c r="I40" t="s">
        <v>93</v>
      </c>
      <c r="J40">
        <v>3398.3</v>
      </c>
      <c r="K40">
        <v>2</v>
      </c>
      <c r="L40">
        <v>590.23</v>
      </c>
      <c r="M40" t="s">
        <v>63</v>
      </c>
      <c r="N40" t="s">
        <v>32</v>
      </c>
    </row>
    <row r="41" spans="1:14">
      <c r="A41" t="s">
        <v>159</v>
      </c>
      <c r="B41" s="1">
        <v>45143</v>
      </c>
      <c r="C41" t="s">
        <v>160</v>
      </c>
      <c r="D41" t="s">
        <v>161</v>
      </c>
      <c r="E41" t="s">
        <v>27</v>
      </c>
      <c r="F41" t="s">
        <v>28</v>
      </c>
      <c r="G41" t="s">
        <v>29</v>
      </c>
      <c r="H41" t="s">
        <v>143</v>
      </c>
      <c r="I41" t="s">
        <v>59</v>
      </c>
      <c r="J41">
        <v>6078.1</v>
      </c>
      <c r="K41">
        <v>2</v>
      </c>
      <c r="L41">
        <v>860.08</v>
      </c>
      <c r="M41" t="s">
        <v>63</v>
      </c>
      <c r="N41" t="s">
        <v>32</v>
      </c>
    </row>
    <row r="42" spans="1:14">
      <c r="A42" t="s">
        <v>162</v>
      </c>
      <c r="B42" s="1">
        <v>45225</v>
      </c>
      <c r="C42" t="s">
        <v>54</v>
      </c>
      <c r="D42" t="s">
        <v>55</v>
      </c>
      <c r="E42" t="s">
        <v>135</v>
      </c>
      <c r="F42" t="s">
        <v>136</v>
      </c>
      <c r="G42" t="s">
        <v>69</v>
      </c>
      <c r="H42" t="s">
        <v>143</v>
      </c>
      <c r="I42" t="s">
        <v>59</v>
      </c>
      <c r="J42">
        <v>8157.45</v>
      </c>
      <c r="K42">
        <v>3</v>
      </c>
      <c r="L42">
        <v>570.34</v>
      </c>
      <c r="M42" t="s">
        <v>22</v>
      </c>
      <c r="N42" t="s">
        <v>32</v>
      </c>
    </row>
    <row r="43" spans="1:14">
      <c r="A43" t="s">
        <v>163</v>
      </c>
      <c r="B43" s="1">
        <v>45098</v>
      </c>
      <c r="C43" t="s">
        <v>160</v>
      </c>
      <c r="D43" t="s">
        <v>161</v>
      </c>
      <c r="E43" t="s">
        <v>103</v>
      </c>
      <c r="F43" t="s">
        <v>104</v>
      </c>
      <c r="G43" t="s">
        <v>19</v>
      </c>
      <c r="H43" t="s">
        <v>164</v>
      </c>
      <c r="I43" t="s">
        <v>39</v>
      </c>
      <c r="J43">
        <v>2998</v>
      </c>
      <c r="K43">
        <v>2</v>
      </c>
      <c r="L43">
        <v>720</v>
      </c>
      <c r="M43" t="s">
        <v>22</v>
      </c>
      <c r="N43" t="s">
        <v>130</v>
      </c>
    </row>
    <row r="44" spans="1:14">
      <c r="A44" t="s">
        <v>165</v>
      </c>
      <c r="B44" s="1">
        <v>45154</v>
      </c>
      <c r="C44" t="s">
        <v>54</v>
      </c>
      <c r="D44" t="s">
        <v>55</v>
      </c>
      <c r="E44" t="s">
        <v>27</v>
      </c>
      <c r="F44" t="s">
        <v>28</v>
      </c>
      <c r="G44" t="s">
        <v>29</v>
      </c>
      <c r="H44" t="s">
        <v>30</v>
      </c>
      <c r="I44" t="s">
        <v>31</v>
      </c>
      <c r="J44">
        <v>2716.8</v>
      </c>
      <c r="K44">
        <v>4</v>
      </c>
      <c r="L44">
        <v>330.6</v>
      </c>
      <c r="M44" t="s">
        <v>22</v>
      </c>
      <c r="N44" t="s">
        <v>32</v>
      </c>
    </row>
    <row r="45" spans="1:14">
      <c r="A45" t="s">
        <v>166</v>
      </c>
      <c r="B45" s="1">
        <v>45007</v>
      </c>
      <c r="C45" t="s">
        <v>34</v>
      </c>
      <c r="D45" t="s">
        <v>35</v>
      </c>
      <c r="E45" t="s">
        <v>17</v>
      </c>
      <c r="F45" t="s">
        <v>18</v>
      </c>
      <c r="G45" t="s">
        <v>19</v>
      </c>
      <c r="H45" t="s">
        <v>164</v>
      </c>
      <c r="I45" t="s">
        <v>39</v>
      </c>
      <c r="J45">
        <v>2698.2</v>
      </c>
      <c r="K45">
        <v>2</v>
      </c>
      <c r="L45">
        <v>495.15</v>
      </c>
      <c r="M45" t="s">
        <v>22</v>
      </c>
      <c r="N45" t="s">
        <v>32</v>
      </c>
    </row>
    <row r="46" spans="1:14">
      <c r="A46" t="s">
        <v>167</v>
      </c>
      <c r="B46" s="1">
        <v>45022</v>
      </c>
      <c r="C46" t="s">
        <v>160</v>
      </c>
      <c r="D46" t="s">
        <v>161</v>
      </c>
      <c r="E46" t="s">
        <v>84</v>
      </c>
      <c r="F46" t="s">
        <v>85</v>
      </c>
      <c r="G46" t="s">
        <v>69</v>
      </c>
      <c r="H46" t="s">
        <v>147</v>
      </c>
      <c r="I46" t="s">
        <v>93</v>
      </c>
      <c r="J46">
        <v>3398.3</v>
      </c>
      <c r="K46">
        <v>2</v>
      </c>
      <c r="L46">
        <v>590.23</v>
      </c>
      <c r="M46" t="s">
        <v>90</v>
      </c>
      <c r="N46" t="s">
        <v>32</v>
      </c>
    </row>
    <row r="47" spans="1:14">
      <c r="A47" t="s">
        <v>168</v>
      </c>
      <c r="B47" s="1">
        <v>45160</v>
      </c>
      <c r="C47" t="s">
        <v>54</v>
      </c>
      <c r="D47" t="s">
        <v>55</v>
      </c>
      <c r="E47" t="s">
        <v>56</v>
      </c>
      <c r="F47" t="s">
        <v>57</v>
      </c>
      <c r="G47" t="s">
        <v>50</v>
      </c>
      <c r="H47" t="s">
        <v>147</v>
      </c>
      <c r="I47" t="s">
        <v>93</v>
      </c>
      <c r="J47">
        <v>5397.3</v>
      </c>
      <c r="K47">
        <v>3</v>
      </c>
      <c r="L47">
        <v>1110.22</v>
      </c>
      <c r="M47" t="s">
        <v>40</v>
      </c>
      <c r="N47" t="s">
        <v>32</v>
      </c>
    </row>
    <row r="48" spans="1:14">
      <c r="A48" t="s">
        <v>169</v>
      </c>
      <c r="B48" s="1">
        <v>45062</v>
      </c>
      <c r="C48" t="s">
        <v>170</v>
      </c>
      <c r="D48" t="s">
        <v>171</v>
      </c>
      <c r="E48" t="s">
        <v>103</v>
      </c>
      <c r="F48" t="s">
        <v>104</v>
      </c>
      <c r="G48" t="s">
        <v>19</v>
      </c>
      <c r="H48" t="s">
        <v>45</v>
      </c>
      <c r="I48" t="s">
        <v>21</v>
      </c>
      <c r="J48">
        <v>3702.15</v>
      </c>
      <c r="K48">
        <v>3</v>
      </c>
      <c r="L48">
        <v>813.86</v>
      </c>
      <c r="M48" t="s">
        <v>22</v>
      </c>
      <c r="N48" t="s">
        <v>32</v>
      </c>
    </row>
    <row r="49" spans="1:14">
      <c r="A49" t="s">
        <v>172</v>
      </c>
      <c r="B49" s="1">
        <v>45216</v>
      </c>
      <c r="C49" t="s">
        <v>122</v>
      </c>
      <c r="D49" t="s">
        <v>123</v>
      </c>
      <c r="E49" t="s">
        <v>27</v>
      </c>
      <c r="F49" t="s">
        <v>28</v>
      </c>
      <c r="G49" t="s">
        <v>29</v>
      </c>
      <c r="H49" t="s">
        <v>173</v>
      </c>
      <c r="I49" t="s">
        <v>59</v>
      </c>
      <c r="J49">
        <v>4084.05</v>
      </c>
      <c r="K49">
        <v>1</v>
      </c>
      <c r="L49">
        <v>558.79</v>
      </c>
      <c r="M49" t="s">
        <v>90</v>
      </c>
      <c r="N49" t="s">
        <v>32</v>
      </c>
    </row>
    <row r="50" spans="1:14">
      <c r="A50" t="s">
        <v>174</v>
      </c>
      <c r="B50" s="1">
        <v>45153</v>
      </c>
      <c r="C50" t="s">
        <v>175</v>
      </c>
      <c r="D50" t="s">
        <v>176</v>
      </c>
      <c r="E50" t="s">
        <v>124</v>
      </c>
      <c r="F50" t="s">
        <v>125</v>
      </c>
      <c r="G50" t="s">
        <v>50</v>
      </c>
      <c r="H50" t="s">
        <v>177</v>
      </c>
      <c r="I50" t="s">
        <v>93</v>
      </c>
      <c r="J50">
        <v>4497</v>
      </c>
      <c r="K50">
        <v>3</v>
      </c>
      <c r="L50">
        <v>1140</v>
      </c>
      <c r="M50" t="s">
        <v>40</v>
      </c>
      <c r="N50" t="s">
        <v>130</v>
      </c>
    </row>
    <row r="51" spans="1:14">
      <c r="A51" t="s">
        <v>178</v>
      </c>
      <c r="B51" s="1">
        <v>45288</v>
      </c>
      <c r="C51" t="s">
        <v>81</v>
      </c>
      <c r="D51" t="s">
        <v>82</v>
      </c>
      <c r="E51" t="s">
        <v>157</v>
      </c>
      <c r="F51" t="s">
        <v>158</v>
      </c>
      <c r="G51" t="s">
        <v>29</v>
      </c>
      <c r="H51" t="s">
        <v>177</v>
      </c>
      <c r="I51" t="s">
        <v>93</v>
      </c>
      <c r="J51">
        <v>5396.4</v>
      </c>
      <c r="K51">
        <v>4</v>
      </c>
      <c r="L51">
        <v>1070.3</v>
      </c>
      <c r="M51" t="s">
        <v>63</v>
      </c>
      <c r="N51" t="s">
        <v>32</v>
      </c>
    </row>
    <row r="52" spans="1:14">
      <c r="A52" t="s">
        <v>179</v>
      </c>
      <c r="B52" s="1">
        <v>45024</v>
      </c>
      <c r="C52" t="s">
        <v>77</v>
      </c>
      <c r="D52" t="s">
        <v>78</v>
      </c>
      <c r="E52" t="s">
        <v>87</v>
      </c>
      <c r="F52" t="s">
        <v>88</v>
      </c>
      <c r="G52" t="s">
        <v>29</v>
      </c>
      <c r="H52" t="s">
        <v>115</v>
      </c>
      <c r="I52" t="s">
        <v>93</v>
      </c>
      <c r="J52">
        <v>2398</v>
      </c>
      <c r="K52">
        <v>2</v>
      </c>
      <c r="L52">
        <v>580</v>
      </c>
      <c r="M52" t="s">
        <v>22</v>
      </c>
      <c r="N52" t="s">
        <v>32</v>
      </c>
    </row>
    <row r="53" spans="1:14">
      <c r="A53" t="s">
        <v>180</v>
      </c>
      <c r="B53" s="1">
        <v>45067</v>
      </c>
      <c r="C53" t="s">
        <v>61</v>
      </c>
      <c r="D53" t="s">
        <v>62</v>
      </c>
      <c r="E53" t="s">
        <v>98</v>
      </c>
      <c r="F53" t="s">
        <v>68</v>
      </c>
      <c r="G53" t="s">
        <v>69</v>
      </c>
      <c r="H53" t="s">
        <v>51</v>
      </c>
      <c r="I53" t="s">
        <v>31</v>
      </c>
      <c r="J53">
        <v>26997</v>
      </c>
      <c r="K53">
        <v>3</v>
      </c>
      <c r="L53">
        <v>3600</v>
      </c>
      <c r="M53" t="s">
        <v>90</v>
      </c>
      <c r="N53" t="s">
        <v>32</v>
      </c>
    </row>
    <row r="54" spans="1:14">
      <c r="A54" t="s">
        <v>181</v>
      </c>
      <c r="B54" s="1">
        <v>45283</v>
      </c>
      <c r="C54" t="s">
        <v>160</v>
      </c>
      <c r="D54" t="s">
        <v>161</v>
      </c>
      <c r="E54" t="s">
        <v>27</v>
      </c>
      <c r="F54" t="s">
        <v>28</v>
      </c>
      <c r="G54" t="s">
        <v>29</v>
      </c>
      <c r="H54" t="s">
        <v>30</v>
      </c>
      <c r="I54" t="s">
        <v>31</v>
      </c>
      <c r="J54">
        <v>1528.2</v>
      </c>
      <c r="K54">
        <v>2</v>
      </c>
      <c r="L54">
        <v>292.64999999999998</v>
      </c>
      <c r="M54" t="s">
        <v>22</v>
      </c>
      <c r="N54" t="s">
        <v>41</v>
      </c>
    </row>
    <row r="55" spans="1:14">
      <c r="A55" t="s">
        <v>182</v>
      </c>
      <c r="B55" s="1">
        <v>45102</v>
      </c>
      <c r="C55" t="s">
        <v>149</v>
      </c>
      <c r="D55" t="s">
        <v>150</v>
      </c>
      <c r="E55" t="s">
        <v>17</v>
      </c>
      <c r="F55" t="s">
        <v>18</v>
      </c>
      <c r="G55" t="s">
        <v>19</v>
      </c>
      <c r="H55" t="s">
        <v>92</v>
      </c>
      <c r="I55" t="s">
        <v>93</v>
      </c>
      <c r="J55">
        <v>7497</v>
      </c>
      <c r="K55">
        <v>3</v>
      </c>
      <c r="L55">
        <v>1950</v>
      </c>
      <c r="M55" t="s">
        <v>22</v>
      </c>
      <c r="N55" t="s">
        <v>130</v>
      </c>
    </row>
    <row r="56" spans="1:14">
      <c r="A56" t="s">
        <v>183</v>
      </c>
      <c r="B56" s="1">
        <v>45083</v>
      </c>
      <c r="C56" t="s">
        <v>119</v>
      </c>
      <c r="D56" t="s">
        <v>120</v>
      </c>
      <c r="E56" t="s">
        <v>98</v>
      </c>
      <c r="F56" t="s">
        <v>68</v>
      </c>
      <c r="G56" t="s">
        <v>69</v>
      </c>
      <c r="H56" t="s">
        <v>184</v>
      </c>
      <c r="I56" t="s">
        <v>39</v>
      </c>
      <c r="J56">
        <v>525</v>
      </c>
      <c r="K56">
        <v>1</v>
      </c>
      <c r="L56">
        <v>175</v>
      </c>
      <c r="M56" t="s">
        <v>40</v>
      </c>
      <c r="N56" t="s">
        <v>32</v>
      </c>
    </row>
    <row r="57" spans="1:14">
      <c r="A57" t="s">
        <v>185</v>
      </c>
      <c r="B57" s="1">
        <v>45009</v>
      </c>
      <c r="C57" t="s">
        <v>81</v>
      </c>
      <c r="D57" t="s">
        <v>82</v>
      </c>
      <c r="E57" t="s">
        <v>98</v>
      </c>
      <c r="F57" t="s">
        <v>68</v>
      </c>
      <c r="G57" t="s">
        <v>69</v>
      </c>
      <c r="H57" t="s">
        <v>147</v>
      </c>
      <c r="I57" t="s">
        <v>93</v>
      </c>
      <c r="J57">
        <v>1999</v>
      </c>
      <c r="K57">
        <v>1</v>
      </c>
      <c r="L57">
        <v>520</v>
      </c>
      <c r="M57" t="s">
        <v>40</v>
      </c>
      <c r="N57" t="s">
        <v>32</v>
      </c>
    </row>
    <row r="58" spans="1:14">
      <c r="A58" t="s">
        <v>186</v>
      </c>
      <c r="B58" s="1">
        <v>45242</v>
      </c>
      <c r="C58" t="s">
        <v>145</v>
      </c>
      <c r="D58" t="s">
        <v>146</v>
      </c>
      <c r="E58" t="s">
        <v>27</v>
      </c>
      <c r="F58" t="s">
        <v>28</v>
      </c>
      <c r="G58" t="s">
        <v>29</v>
      </c>
      <c r="H58" t="s">
        <v>137</v>
      </c>
      <c r="I58" t="s">
        <v>93</v>
      </c>
      <c r="J58">
        <v>6444</v>
      </c>
      <c r="K58">
        <v>4</v>
      </c>
      <c r="L58">
        <v>1023</v>
      </c>
      <c r="M58" t="s">
        <v>40</v>
      </c>
      <c r="N58" t="s">
        <v>32</v>
      </c>
    </row>
    <row r="59" spans="1:14">
      <c r="A59" t="s">
        <v>187</v>
      </c>
      <c r="B59" s="1">
        <v>45146</v>
      </c>
      <c r="C59" t="s">
        <v>175</v>
      </c>
      <c r="D59" t="s">
        <v>176</v>
      </c>
      <c r="E59" t="s">
        <v>103</v>
      </c>
      <c r="F59" t="s">
        <v>104</v>
      </c>
      <c r="G59" t="s">
        <v>19</v>
      </c>
      <c r="H59" t="s">
        <v>126</v>
      </c>
      <c r="I59" t="s">
        <v>21</v>
      </c>
      <c r="J59">
        <v>79998</v>
      </c>
      <c r="K59">
        <v>2</v>
      </c>
      <c r="L59">
        <v>9600</v>
      </c>
      <c r="M59" t="s">
        <v>63</v>
      </c>
      <c r="N59" t="s">
        <v>32</v>
      </c>
    </row>
    <row r="60" spans="1:14">
      <c r="A60" t="s">
        <v>188</v>
      </c>
      <c r="B60" s="1">
        <v>45072</v>
      </c>
      <c r="C60" t="s">
        <v>72</v>
      </c>
      <c r="D60" t="s">
        <v>73</v>
      </c>
      <c r="E60" t="s">
        <v>87</v>
      </c>
      <c r="F60" t="s">
        <v>88</v>
      </c>
      <c r="G60" t="s">
        <v>29</v>
      </c>
      <c r="H60" t="s">
        <v>189</v>
      </c>
      <c r="I60" t="s">
        <v>59</v>
      </c>
      <c r="J60">
        <v>1757.5</v>
      </c>
      <c r="K60">
        <v>1</v>
      </c>
      <c r="L60">
        <v>-263.62</v>
      </c>
      <c r="M60" t="s">
        <v>40</v>
      </c>
      <c r="N60" t="s">
        <v>75</v>
      </c>
    </row>
    <row r="61" spans="1:14">
      <c r="A61" t="s">
        <v>190</v>
      </c>
      <c r="B61" s="1">
        <v>45283</v>
      </c>
      <c r="C61" t="s">
        <v>72</v>
      </c>
      <c r="D61" t="s">
        <v>73</v>
      </c>
      <c r="E61" t="s">
        <v>95</v>
      </c>
      <c r="F61" t="s">
        <v>96</v>
      </c>
      <c r="G61" t="s">
        <v>19</v>
      </c>
      <c r="H61" t="s">
        <v>126</v>
      </c>
      <c r="I61" t="s">
        <v>21</v>
      </c>
      <c r="J61">
        <v>31999.200000000001</v>
      </c>
      <c r="K61">
        <v>1</v>
      </c>
      <c r="L61">
        <v>-1199.8499999999999</v>
      </c>
      <c r="M61" t="s">
        <v>22</v>
      </c>
      <c r="N61" t="s">
        <v>32</v>
      </c>
    </row>
    <row r="62" spans="1:14">
      <c r="A62" t="s">
        <v>191</v>
      </c>
      <c r="B62" s="1">
        <v>45058</v>
      </c>
      <c r="C62" t="s">
        <v>25</v>
      </c>
      <c r="D62" t="s">
        <v>26</v>
      </c>
      <c r="E62" t="s">
        <v>103</v>
      </c>
      <c r="F62" t="s">
        <v>104</v>
      </c>
      <c r="G62" t="s">
        <v>19</v>
      </c>
      <c r="H62" t="s">
        <v>164</v>
      </c>
      <c r="I62" t="s">
        <v>39</v>
      </c>
      <c r="J62">
        <v>1499</v>
      </c>
      <c r="K62">
        <v>1</v>
      </c>
      <c r="L62">
        <v>360</v>
      </c>
      <c r="M62" t="s">
        <v>40</v>
      </c>
      <c r="N62" t="s">
        <v>32</v>
      </c>
    </row>
    <row r="63" spans="1:14">
      <c r="A63" t="s">
        <v>192</v>
      </c>
      <c r="B63" s="1">
        <v>45022</v>
      </c>
      <c r="C63" t="s">
        <v>43</v>
      </c>
      <c r="D63" t="s">
        <v>44</v>
      </c>
      <c r="E63" t="s">
        <v>36</v>
      </c>
      <c r="F63" t="s">
        <v>37</v>
      </c>
      <c r="G63" t="s">
        <v>19</v>
      </c>
      <c r="H63" t="s">
        <v>143</v>
      </c>
      <c r="I63" t="s">
        <v>59</v>
      </c>
      <c r="J63">
        <v>6398</v>
      </c>
      <c r="K63">
        <v>2</v>
      </c>
      <c r="L63">
        <v>1100</v>
      </c>
      <c r="M63" t="s">
        <v>63</v>
      </c>
      <c r="N63" t="s">
        <v>32</v>
      </c>
    </row>
    <row r="64" spans="1:14">
      <c r="A64" t="s">
        <v>193</v>
      </c>
      <c r="B64" s="1">
        <v>45069</v>
      </c>
      <c r="C64" t="s">
        <v>132</v>
      </c>
      <c r="D64" t="s">
        <v>133</v>
      </c>
      <c r="E64" t="s">
        <v>103</v>
      </c>
      <c r="F64" t="s">
        <v>104</v>
      </c>
      <c r="G64" t="s">
        <v>19</v>
      </c>
      <c r="H64" t="s">
        <v>74</v>
      </c>
      <c r="I64" t="s">
        <v>31</v>
      </c>
      <c r="J64">
        <v>35091</v>
      </c>
      <c r="K64">
        <v>1</v>
      </c>
      <c r="L64">
        <v>1175.75</v>
      </c>
      <c r="M64" t="s">
        <v>22</v>
      </c>
      <c r="N64" t="s">
        <v>32</v>
      </c>
    </row>
    <row r="65" spans="1:14">
      <c r="A65" t="s">
        <v>194</v>
      </c>
      <c r="B65" s="1">
        <v>45237</v>
      </c>
      <c r="C65" t="s">
        <v>160</v>
      </c>
      <c r="D65" t="s">
        <v>161</v>
      </c>
      <c r="E65" t="s">
        <v>141</v>
      </c>
      <c r="F65" t="s">
        <v>142</v>
      </c>
      <c r="G65" t="s">
        <v>50</v>
      </c>
      <c r="H65" t="s">
        <v>117</v>
      </c>
      <c r="I65" t="s">
        <v>93</v>
      </c>
      <c r="J65">
        <v>6552.15</v>
      </c>
      <c r="K65">
        <v>3</v>
      </c>
      <c r="L65">
        <v>-798.64</v>
      </c>
      <c r="M65" t="s">
        <v>22</v>
      </c>
      <c r="N65" t="s">
        <v>32</v>
      </c>
    </row>
    <row r="66" spans="1:14">
      <c r="A66" t="s">
        <v>195</v>
      </c>
      <c r="B66" s="1">
        <v>45250</v>
      </c>
      <c r="C66" t="s">
        <v>34</v>
      </c>
      <c r="D66" t="s">
        <v>35</v>
      </c>
      <c r="E66" t="s">
        <v>141</v>
      </c>
      <c r="F66" t="s">
        <v>142</v>
      </c>
      <c r="G66" t="s">
        <v>50</v>
      </c>
      <c r="H66" t="s">
        <v>92</v>
      </c>
      <c r="I66" t="s">
        <v>93</v>
      </c>
      <c r="J66">
        <v>8496.6</v>
      </c>
      <c r="K66">
        <v>4</v>
      </c>
      <c r="L66">
        <v>1475.45</v>
      </c>
      <c r="M66" t="s">
        <v>22</v>
      </c>
      <c r="N66" t="s">
        <v>32</v>
      </c>
    </row>
    <row r="67" spans="1:14">
      <c r="A67" t="s">
        <v>196</v>
      </c>
      <c r="B67" s="1">
        <v>45245</v>
      </c>
      <c r="C67" t="s">
        <v>47</v>
      </c>
      <c r="D67" t="s">
        <v>48</v>
      </c>
      <c r="E67" t="s">
        <v>67</v>
      </c>
      <c r="F67" t="s">
        <v>68</v>
      </c>
      <c r="G67" t="s">
        <v>69</v>
      </c>
      <c r="H67" t="s">
        <v>173</v>
      </c>
      <c r="I67" t="s">
        <v>59</v>
      </c>
      <c r="J67">
        <v>7738.2</v>
      </c>
      <c r="K67">
        <v>2</v>
      </c>
      <c r="L67">
        <v>795.15</v>
      </c>
      <c r="M67" t="s">
        <v>40</v>
      </c>
      <c r="N67" t="s">
        <v>32</v>
      </c>
    </row>
    <row r="68" spans="1:14">
      <c r="A68" t="s">
        <v>197</v>
      </c>
      <c r="B68" s="1">
        <v>45236</v>
      </c>
      <c r="C68" t="s">
        <v>72</v>
      </c>
      <c r="D68" t="s">
        <v>73</v>
      </c>
      <c r="E68" t="s">
        <v>135</v>
      </c>
      <c r="F68" t="s">
        <v>136</v>
      </c>
      <c r="G68" t="s">
        <v>69</v>
      </c>
      <c r="H68" t="s">
        <v>30</v>
      </c>
      <c r="I68" t="s">
        <v>31</v>
      </c>
      <c r="J68">
        <v>849</v>
      </c>
      <c r="K68">
        <v>1</v>
      </c>
      <c r="L68">
        <v>210</v>
      </c>
      <c r="M68" t="s">
        <v>22</v>
      </c>
      <c r="N68" t="s">
        <v>32</v>
      </c>
    </row>
    <row r="69" spans="1:14">
      <c r="A69" t="s">
        <v>198</v>
      </c>
      <c r="B69" s="1">
        <v>45177</v>
      </c>
      <c r="C69" t="s">
        <v>175</v>
      </c>
      <c r="D69" t="s">
        <v>176</v>
      </c>
      <c r="E69" t="s">
        <v>141</v>
      </c>
      <c r="F69" t="s">
        <v>142</v>
      </c>
      <c r="G69" t="s">
        <v>50</v>
      </c>
      <c r="H69" t="s">
        <v>79</v>
      </c>
      <c r="I69" t="s">
        <v>31</v>
      </c>
      <c r="J69">
        <v>107074.5</v>
      </c>
      <c r="K69">
        <v>3</v>
      </c>
      <c r="L69">
        <v>0</v>
      </c>
      <c r="M69" t="s">
        <v>90</v>
      </c>
      <c r="N69" t="s">
        <v>23</v>
      </c>
    </row>
    <row r="70" spans="1:14">
      <c r="A70" t="s">
        <v>199</v>
      </c>
      <c r="B70" s="1">
        <v>44988</v>
      </c>
      <c r="C70" t="s">
        <v>34</v>
      </c>
      <c r="D70" t="s">
        <v>35</v>
      </c>
      <c r="E70" t="s">
        <v>67</v>
      </c>
      <c r="F70" t="s">
        <v>68</v>
      </c>
      <c r="G70" t="s">
        <v>69</v>
      </c>
      <c r="H70" t="s">
        <v>143</v>
      </c>
      <c r="I70" t="s">
        <v>59</v>
      </c>
      <c r="J70">
        <v>9117.15</v>
      </c>
      <c r="K70">
        <v>3</v>
      </c>
      <c r="L70">
        <v>1290.1099999999999</v>
      </c>
      <c r="M70" t="s">
        <v>22</v>
      </c>
      <c r="N70" t="s">
        <v>41</v>
      </c>
    </row>
    <row r="71" spans="1:14">
      <c r="A71" t="s">
        <v>200</v>
      </c>
      <c r="B71" s="1">
        <v>44993</v>
      </c>
      <c r="C71" t="s">
        <v>43</v>
      </c>
      <c r="D71" t="s">
        <v>44</v>
      </c>
      <c r="E71" t="s">
        <v>87</v>
      </c>
      <c r="F71" t="s">
        <v>88</v>
      </c>
      <c r="G71" t="s">
        <v>29</v>
      </c>
      <c r="H71" t="s">
        <v>126</v>
      </c>
      <c r="I71" t="s">
        <v>21</v>
      </c>
      <c r="J71">
        <v>119997</v>
      </c>
      <c r="K71">
        <v>3</v>
      </c>
      <c r="L71">
        <v>-17999.55</v>
      </c>
      <c r="M71" t="s">
        <v>40</v>
      </c>
      <c r="N71" t="s">
        <v>75</v>
      </c>
    </row>
    <row r="72" spans="1:14">
      <c r="A72" t="s">
        <v>201</v>
      </c>
      <c r="B72" s="1">
        <v>44994</v>
      </c>
      <c r="C72" t="s">
        <v>202</v>
      </c>
      <c r="D72" t="s">
        <v>203</v>
      </c>
      <c r="E72" t="s">
        <v>98</v>
      </c>
      <c r="F72" t="s">
        <v>68</v>
      </c>
      <c r="G72" t="s">
        <v>69</v>
      </c>
      <c r="H72" t="s">
        <v>126</v>
      </c>
      <c r="I72" t="s">
        <v>21</v>
      </c>
      <c r="J72">
        <v>33999.15</v>
      </c>
      <c r="K72">
        <v>1</v>
      </c>
      <c r="L72">
        <v>300.11</v>
      </c>
      <c r="M72" t="s">
        <v>63</v>
      </c>
      <c r="N72" t="s">
        <v>32</v>
      </c>
    </row>
    <row r="73" spans="1:14">
      <c r="A73" t="s">
        <v>204</v>
      </c>
      <c r="B73" s="1">
        <v>45011</v>
      </c>
      <c r="C73" t="s">
        <v>149</v>
      </c>
      <c r="D73" t="s">
        <v>150</v>
      </c>
      <c r="E73" t="s">
        <v>56</v>
      </c>
      <c r="F73" t="s">
        <v>57</v>
      </c>
      <c r="G73" t="s">
        <v>50</v>
      </c>
      <c r="H73" t="s">
        <v>70</v>
      </c>
      <c r="I73" t="s">
        <v>39</v>
      </c>
      <c r="J73">
        <v>2340</v>
      </c>
      <c r="K73">
        <v>3</v>
      </c>
      <c r="L73">
        <v>720</v>
      </c>
      <c r="M73" t="s">
        <v>90</v>
      </c>
      <c r="N73" t="s">
        <v>130</v>
      </c>
    </row>
    <row r="74" spans="1:14">
      <c r="A74" t="s">
        <v>205</v>
      </c>
      <c r="B74" s="1">
        <v>45203</v>
      </c>
      <c r="C74" t="s">
        <v>15</v>
      </c>
      <c r="D74" t="s">
        <v>16</v>
      </c>
      <c r="E74" t="s">
        <v>27</v>
      </c>
      <c r="F74" t="s">
        <v>28</v>
      </c>
      <c r="G74" t="s">
        <v>29</v>
      </c>
      <c r="H74" t="s">
        <v>206</v>
      </c>
      <c r="I74" t="s">
        <v>21</v>
      </c>
      <c r="J74">
        <v>194997</v>
      </c>
      <c r="K74">
        <v>3</v>
      </c>
      <c r="L74">
        <v>-29249.55</v>
      </c>
      <c r="M74" t="s">
        <v>90</v>
      </c>
      <c r="N74" t="s">
        <v>75</v>
      </c>
    </row>
    <row r="75" spans="1:14">
      <c r="A75" t="s">
        <v>207</v>
      </c>
      <c r="B75" s="1">
        <v>44940</v>
      </c>
      <c r="C75" t="s">
        <v>175</v>
      </c>
      <c r="D75" t="s">
        <v>176</v>
      </c>
      <c r="E75" t="s">
        <v>36</v>
      </c>
      <c r="F75" t="s">
        <v>37</v>
      </c>
      <c r="G75" t="s">
        <v>19</v>
      </c>
      <c r="H75" t="s">
        <v>115</v>
      </c>
      <c r="I75" t="s">
        <v>93</v>
      </c>
      <c r="J75">
        <v>3057.45</v>
      </c>
      <c r="K75">
        <v>3</v>
      </c>
      <c r="L75">
        <v>-458.62</v>
      </c>
      <c r="M75" t="s">
        <v>63</v>
      </c>
      <c r="N75" t="s">
        <v>75</v>
      </c>
    </row>
    <row r="76" spans="1:14">
      <c r="A76" t="s">
        <v>208</v>
      </c>
      <c r="B76" s="1">
        <v>45105</v>
      </c>
      <c r="C76" t="s">
        <v>72</v>
      </c>
      <c r="D76" t="s">
        <v>73</v>
      </c>
      <c r="E76" t="s">
        <v>27</v>
      </c>
      <c r="F76" t="s">
        <v>28</v>
      </c>
      <c r="G76" t="s">
        <v>29</v>
      </c>
      <c r="H76" t="s">
        <v>99</v>
      </c>
      <c r="I76" t="s">
        <v>21</v>
      </c>
      <c r="J76">
        <v>2397</v>
      </c>
      <c r="K76">
        <v>3</v>
      </c>
      <c r="L76">
        <v>750</v>
      </c>
      <c r="M76" t="s">
        <v>63</v>
      </c>
      <c r="N76" t="s">
        <v>32</v>
      </c>
    </row>
    <row r="77" spans="1:14">
      <c r="A77" t="s">
        <v>209</v>
      </c>
      <c r="B77" s="1">
        <v>45109</v>
      </c>
      <c r="C77" t="s">
        <v>160</v>
      </c>
      <c r="D77" t="s">
        <v>161</v>
      </c>
      <c r="F77" t="s">
        <v>88</v>
      </c>
      <c r="G77" t="s">
        <v>29</v>
      </c>
      <c r="H77" t="s">
        <v>137</v>
      </c>
      <c r="I77" t="s">
        <v>93</v>
      </c>
      <c r="J77">
        <v>1521.5</v>
      </c>
      <c r="K77">
        <v>1</v>
      </c>
      <c r="L77">
        <v>188.62</v>
      </c>
      <c r="M77" t="s">
        <v>90</v>
      </c>
      <c r="N77" t="s">
        <v>32</v>
      </c>
    </row>
    <row r="78" spans="1:14">
      <c r="A78" t="s">
        <v>210</v>
      </c>
      <c r="B78" s="1">
        <v>44996</v>
      </c>
      <c r="C78" t="s">
        <v>43</v>
      </c>
      <c r="D78" t="s">
        <v>44</v>
      </c>
      <c r="E78" t="s">
        <v>49</v>
      </c>
      <c r="F78" t="s">
        <v>49</v>
      </c>
      <c r="G78" t="s">
        <v>50</v>
      </c>
      <c r="H78" t="s">
        <v>109</v>
      </c>
      <c r="I78" t="s">
        <v>31</v>
      </c>
      <c r="J78">
        <v>186966</v>
      </c>
      <c r="K78">
        <v>4</v>
      </c>
      <c r="L78">
        <v>-1545.5</v>
      </c>
      <c r="M78" t="s">
        <v>63</v>
      </c>
      <c r="N78" t="s">
        <v>130</v>
      </c>
    </row>
    <row r="79" spans="1:14">
      <c r="A79" t="s">
        <v>211</v>
      </c>
      <c r="B79" s="1">
        <v>45256</v>
      </c>
      <c r="C79" t="s">
        <v>132</v>
      </c>
      <c r="D79" t="s">
        <v>133</v>
      </c>
      <c r="E79" t="s">
        <v>135</v>
      </c>
      <c r="F79" t="s">
        <v>136</v>
      </c>
      <c r="G79" t="s">
        <v>69</v>
      </c>
      <c r="H79" t="s">
        <v>92</v>
      </c>
      <c r="I79" t="s">
        <v>93</v>
      </c>
      <c r="J79">
        <v>2374.0500000000002</v>
      </c>
      <c r="K79">
        <v>1</v>
      </c>
      <c r="L79">
        <v>556.29</v>
      </c>
      <c r="M79" t="s">
        <v>63</v>
      </c>
      <c r="N79" t="s">
        <v>32</v>
      </c>
    </row>
    <row r="80" spans="1:14">
      <c r="A80" t="s">
        <v>212</v>
      </c>
      <c r="B80" s="1">
        <v>45059</v>
      </c>
      <c r="C80" t="s">
        <v>170</v>
      </c>
      <c r="D80" t="s">
        <v>171</v>
      </c>
      <c r="E80" t="s">
        <v>135</v>
      </c>
      <c r="F80" t="s">
        <v>136</v>
      </c>
      <c r="G80" t="s">
        <v>69</v>
      </c>
      <c r="H80" t="s">
        <v>189</v>
      </c>
      <c r="I80" t="s">
        <v>59</v>
      </c>
      <c r="J80">
        <v>7400</v>
      </c>
      <c r="K80">
        <v>4</v>
      </c>
      <c r="L80">
        <v>1360</v>
      </c>
      <c r="M80" t="s">
        <v>22</v>
      </c>
      <c r="N80" t="s">
        <v>32</v>
      </c>
    </row>
    <row r="81" spans="1:14">
      <c r="A81" t="s">
        <v>213</v>
      </c>
      <c r="B81" s="1">
        <v>45229</v>
      </c>
      <c r="C81" t="s">
        <v>81</v>
      </c>
      <c r="D81" t="s">
        <v>82</v>
      </c>
      <c r="E81" t="s">
        <v>49</v>
      </c>
      <c r="F81" t="s">
        <v>49</v>
      </c>
      <c r="G81" t="s">
        <v>50</v>
      </c>
      <c r="H81" t="s">
        <v>111</v>
      </c>
      <c r="I81" t="s">
        <v>59</v>
      </c>
      <c r="J81">
        <v>3596</v>
      </c>
      <c r="K81">
        <v>4</v>
      </c>
      <c r="L81">
        <v>-480</v>
      </c>
      <c r="M81" t="s">
        <v>63</v>
      </c>
      <c r="N81" t="s">
        <v>32</v>
      </c>
    </row>
    <row r="82" spans="1:14">
      <c r="A82" t="s">
        <v>214</v>
      </c>
      <c r="B82" s="1">
        <v>44969</v>
      </c>
      <c r="C82" t="s">
        <v>72</v>
      </c>
      <c r="D82" t="s">
        <v>73</v>
      </c>
      <c r="E82" t="s">
        <v>27</v>
      </c>
      <c r="F82" t="s">
        <v>28</v>
      </c>
      <c r="G82" t="s">
        <v>29</v>
      </c>
      <c r="H82" t="s">
        <v>215</v>
      </c>
      <c r="I82" t="s">
        <v>59</v>
      </c>
      <c r="J82">
        <v>18522.150000000001</v>
      </c>
      <c r="K82">
        <v>3</v>
      </c>
      <c r="L82">
        <v>2118.86</v>
      </c>
      <c r="M82" t="s">
        <v>52</v>
      </c>
      <c r="N82" t="s">
        <v>130</v>
      </c>
    </row>
    <row r="83" spans="1:14">
      <c r="A83" t="s">
        <v>216</v>
      </c>
      <c r="B83" s="1">
        <v>45127</v>
      </c>
      <c r="C83" t="s">
        <v>72</v>
      </c>
      <c r="D83" t="s">
        <v>73</v>
      </c>
      <c r="E83" t="s">
        <v>95</v>
      </c>
      <c r="F83" t="s">
        <v>96</v>
      </c>
      <c r="G83" t="s">
        <v>19</v>
      </c>
      <c r="H83" t="s">
        <v>164</v>
      </c>
      <c r="I83" t="s">
        <v>39</v>
      </c>
      <c r="J83">
        <v>4047.3</v>
      </c>
      <c r="K83">
        <v>3</v>
      </c>
      <c r="L83">
        <v>742.72</v>
      </c>
      <c r="M83" t="s">
        <v>22</v>
      </c>
      <c r="N83" t="s">
        <v>32</v>
      </c>
    </row>
    <row r="84" spans="1:14">
      <c r="A84" t="s">
        <v>217</v>
      </c>
      <c r="B84" s="1">
        <v>45242</v>
      </c>
      <c r="C84" t="s">
        <v>113</v>
      </c>
      <c r="D84" t="s">
        <v>114</v>
      </c>
      <c r="E84" t="s">
        <v>103</v>
      </c>
      <c r="F84" t="s">
        <v>104</v>
      </c>
      <c r="G84" t="s">
        <v>19</v>
      </c>
      <c r="H84" t="s">
        <v>51</v>
      </c>
      <c r="I84" t="s">
        <v>31</v>
      </c>
      <c r="J84">
        <v>28796.799999999999</v>
      </c>
      <c r="K84">
        <v>4</v>
      </c>
      <c r="L84">
        <v>-599.4</v>
      </c>
      <c r="M84" t="s">
        <v>40</v>
      </c>
      <c r="N84" t="s">
        <v>32</v>
      </c>
    </row>
    <row r="85" spans="1:14">
      <c r="A85" t="s">
        <v>218</v>
      </c>
      <c r="B85" s="1">
        <v>45162</v>
      </c>
      <c r="C85" t="s">
        <v>81</v>
      </c>
      <c r="D85" t="s">
        <v>82</v>
      </c>
      <c r="E85" t="s">
        <v>103</v>
      </c>
      <c r="F85" t="s">
        <v>104</v>
      </c>
      <c r="G85" t="s">
        <v>19</v>
      </c>
      <c r="H85" t="s">
        <v>58</v>
      </c>
      <c r="I85" t="s">
        <v>59</v>
      </c>
      <c r="J85">
        <v>2693.25</v>
      </c>
      <c r="K85">
        <v>3</v>
      </c>
      <c r="L85">
        <v>523.69000000000005</v>
      </c>
      <c r="M85" t="s">
        <v>63</v>
      </c>
      <c r="N85" t="s">
        <v>32</v>
      </c>
    </row>
    <row r="86" spans="1:14">
      <c r="A86" t="s">
        <v>219</v>
      </c>
      <c r="B86" s="1">
        <v>45270</v>
      </c>
      <c r="C86" t="s">
        <v>220</v>
      </c>
      <c r="D86" t="s">
        <v>221</v>
      </c>
      <c r="E86" t="s">
        <v>27</v>
      </c>
      <c r="F86" t="s">
        <v>28</v>
      </c>
      <c r="G86" t="s">
        <v>29</v>
      </c>
      <c r="H86" t="s">
        <v>206</v>
      </c>
      <c r="I86" t="s">
        <v>21</v>
      </c>
      <c r="J86">
        <v>165747.45000000001</v>
      </c>
      <c r="K86">
        <v>3</v>
      </c>
      <c r="L86">
        <v>-337.16</v>
      </c>
      <c r="M86" t="s">
        <v>22</v>
      </c>
      <c r="N86" t="s">
        <v>32</v>
      </c>
    </row>
    <row r="87" spans="1:14">
      <c r="A87" t="s">
        <v>222</v>
      </c>
      <c r="B87" s="1">
        <v>44938</v>
      </c>
      <c r="C87" t="s">
        <v>34</v>
      </c>
      <c r="D87" t="s">
        <v>35</v>
      </c>
      <c r="E87" t="s">
        <v>141</v>
      </c>
      <c r="F87" t="s">
        <v>142</v>
      </c>
      <c r="G87" t="s">
        <v>50</v>
      </c>
      <c r="H87" t="s">
        <v>51</v>
      </c>
      <c r="I87" t="s">
        <v>31</v>
      </c>
      <c r="J87">
        <v>15298.3</v>
      </c>
      <c r="K87">
        <v>2</v>
      </c>
      <c r="L87">
        <v>375.23</v>
      </c>
      <c r="M87" t="s">
        <v>22</v>
      </c>
      <c r="N87" t="s">
        <v>32</v>
      </c>
    </row>
    <row r="88" spans="1:14">
      <c r="A88" t="s">
        <v>223</v>
      </c>
      <c r="B88" s="1">
        <v>45037</v>
      </c>
      <c r="C88" t="s">
        <v>101</v>
      </c>
      <c r="D88" t="s">
        <v>102</v>
      </c>
      <c r="E88" t="s">
        <v>84</v>
      </c>
      <c r="F88" t="s">
        <v>85</v>
      </c>
      <c r="G88" t="s">
        <v>69</v>
      </c>
      <c r="H88" t="s">
        <v>154</v>
      </c>
      <c r="I88" t="s">
        <v>93</v>
      </c>
      <c r="J88">
        <v>1230.25</v>
      </c>
      <c r="K88">
        <v>1</v>
      </c>
      <c r="L88">
        <v>261.44</v>
      </c>
      <c r="M88" t="s">
        <v>63</v>
      </c>
      <c r="N88" t="s">
        <v>32</v>
      </c>
    </row>
    <row r="89" spans="1:14">
      <c r="A89" t="s">
        <v>224</v>
      </c>
      <c r="B89" s="1">
        <v>45172</v>
      </c>
      <c r="C89" t="s">
        <v>132</v>
      </c>
      <c r="D89" t="s">
        <v>133</v>
      </c>
      <c r="E89" t="s">
        <v>49</v>
      </c>
      <c r="F89" t="s">
        <v>49</v>
      </c>
      <c r="G89" t="s">
        <v>50</v>
      </c>
      <c r="H89" t="s">
        <v>126</v>
      </c>
      <c r="I89" t="s">
        <v>21</v>
      </c>
      <c r="J89">
        <v>143996.4</v>
      </c>
      <c r="K89">
        <v>4</v>
      </c>
      <c r="L89">
        <v>7200.3</v>
      </c>
      <c r="M89" t="s">
        <v>90</v>
      </c>
      <c r="N89" t="s">
        <v>32</v>
      </c>
    </row>
    <row r="90" spans="1:14">
      <c r="A90" t="s">
        <v>225</v>
      </c>
      <c r="B90" s="1">
        <v>45019</v>
      </c>
      <c r="C90" t="s">
        <v>65</v>
      </c>
      <c r="D90" t="s">
        <v>66</v>
      </c>
      <c r="E90" t="s">
        <v>124</v>
      </c>
      <c r="F90" t="s">
        <v>125</v>
      </c>
      <c r="G90" t="s">
        <v>50</v>
      </c>
      <c r="H90" t="s">
        <v>111</v>
      </c>
      <c r="I90" t="s">
        <v>59</v>
      </c>
      <c r="J90">
        <v>3416.2</v>
      </c>
      <c r="K90">
        <v>4</v>
      </c>
      <c r="L90">
        <v>-614.85</v>
      </c>
      <c r="M90" t="s">
        <v>22</v>
      </c>
      <c r="N90" t="s">
        <v>32</v>
      </c>
    </row>
    <row r="91" spans="1:14">
      <c r="A91" t="s">
        <v>226</v>
      </c>
      <c r="B91" s="1">
        <v>44937</v>
      </c>
      <c r="C91" t="s">
        <v>227</v>
      </c>
      <c r="D91" t="s">
        <v>228</v>
      </c>
      <c r="E91" t="s">
        <v>17</v>
      </c>
      <c r="F91" t="s">
        <v>18</v>
      </c>
      <c r="G91" t="s">
        <v>19</v>
      </c>
      <c r="H91" t="s">
        <v>111</v>
      </c>
      <c r="I91" t="s">
        <v>59</v>
      </c>
      <c r="J91">
        <v>899</v>
      </c>
      <c r="K91">
        <v>1</v>
      </c>
      <c r="L91">
        <v>-120</v>
      </c>
      <c r="M91" t="s">
        <v>22</v>
      </c>
      <c r="N91" t="s">
        <v>41</v>
      </c>
    </row>
    <row r="92" spans="1:14">
      <c r="A92" t="s">
        <v>229</v>
      </c>
      <c r="B92" s="1">
        <v>45128</v>
      </c>
      <c r="C92" t="s">
        <v>54</v>
      </c>
      <c r="D92" t="s">
        <v>55</v>
      </c>
      <c r="E92" t="s">
        <v>27</v>
      </c>
      <c r="F92" t="s">
        <v>28</v>
      </c>
      <c r="G92" t="s">
        <v>29</v>
      </c>
      <c r="H92" t="s">
        <v>230</v>
      </c>
      <c r="I92" t="s">
        <v>39</v>
      </c>
      <c r="J92">
        <v>649</v>
      </c>
      <c r="K92">
        <v>1</v>
      </c>
      <c r="L92">
        <v>-97.35</v>
      </c>
      <c r="M92" t="s">
        <v>90</v>
      </c>
      <c r="N92" t="s">
        <v>75</v>
      </c>
    </row>
    <row r="93" spans="1:14">
      <c r="A93" t="s">
        <v>231</v>
      </c>
      <c r="B93" s="1">
        <v>45159</v>
      </c>
      <c r="C93" t="s">
        <v>220</v>
      </c>
      <c r="D93" t="s">
        <v>221</v>
      </c>
      <c r="E93" t="s">
        <v>87</v>
      </c>
      <c r="F93" t="s">
        <v>88</v>
      </c>
      <c r="G93" t="s">
        <v>29</v>
      </c>
      <c r="H93" t="s">
        <v>147</v>
      </c>
      <c r="I93" t="s">
        <v>93</v>
      </c>
      <c r="J93">
        <v>3598.2</v>
      </c>
      <c r="K93">
        <v>2</v>
      </c>
      <c r="L93">
        <v>0</v>
      </c>
      <c r="M93" t="s">
        <v>63</v>
      </c>
      <c r="N93" t="s">
        <v>23</v>
      </c>
    </row>
    <row r="94" spans="1:14">
      <c r="A94" t="s">
        <v>232</v>
      </c>
      <c r="B94" s="1">
        <v>44958</v>
      </c>
      <c r="C94" t="s">
        <v>227</v>
      </c>
      <c r="D94" t="s">
        <v>228</v>
      </c>
      <c r="E94" t="s">
        <v>56</v>
      </c>
      <c r="F94" t="s">
        <v>57</v>
      </c>
      <c r="G94" t="s">
        <v>50</v>
      </c>
      <c r="H94" t="s">
        <v>30</v>
      </c>
      <c r="I94" t="s">
        <v>31</v>
      </c>
      <c r="J94">
        <v>764.1</v>
      </c>
      <c r="K94">
        <v>1</v>
      </c>
      <c r="L94">
        <v>146.32</v>
      </c>
      <c r="M94" t="s">
        <v>40</v>
      </c>
      <c r="N94" t="s">
        <v>32</v>
      </c>
    </row>
    <row r="95" spans="1:14">
      <c r="A95" t="s">
        <v>233</v>
      </c>
      <c r="B95" s="1">
        <v>45234</v>
      </c>
      <c r="C95" t="s">
        <v>72</v>
      </c>
      <c r="D95" t="s">
        <v>73</v>
      </c>
      <c r="E95" t="s">
        <v>67</v>
      </c>
      <c r="F95" t="s">
        <v>68</v>
      </c>
      <c r="G95" t="s">
        <v>69</v>
      </c>
      <c r="H95" t="s">
        <v>206</v>
      </c>
      <c r="I95" t="s">
        <v>21</v>
      </c>
      <c r="J95">
        <v>103998.39999999999</v>
      </c>
      <c r="K95">
        <v>2</v>
      </c>
      <c r="L95">
        <v>-5099.7</v>
      </c>
      <c r="M95" t="s">
        <v>40</v>
      </c>
      <c r="N95" t="s">
        <v>32</v>
      </c>
    </row>
    <row r="96" spans="1:14">
      <c r="A96" t="s">
        <v>234</v>
      </c>
      <c r="B96" s="1">
        <v>45015</v>
      </c>
      <c r="C96" t="s">
        <v>25</v>
      </c>
      <c r="D96" t="s">
        <v>26</v>
      </c>
      <c r="E96" t="s">
        <v>36</v>
      </c>
      <c r="F96" t="s">
        <v>37</v>
      </c>
      <c r="G96" t="s">
        <v>19</v>
      </c>
      <c r="H96" t="s">
        <v>137</v>
      </c>
      <c r="I96" t="s">
        <v>93</v>
      </c>
      <c r="J96">
        <v>1611</v>
      </c>
      <c r="K96">
        <v>1</v>
      </c>
      <c r="L96">
        <v>255.75</v>
      </c>
      <c r="M96" t="s">
        <v>90</v>
      </c>
      <c r="N96" t="s">
        <v>41</v>
      </c>
    </row>
    <row r="97" spans="1:14">
      <c r="A97" t="s">
        <v>235</v>
      </c>
      <c r="B97" s="1">
        <v>45261</v>
      </c>
      <c r="C97" t="s">
        <v>101</v>
      </c>
      <c r="D97" t="s">
        <v>102</v>
      </c>
      <c r="E97" t="s">
        <v>141</v>
      </c>
      <c r="F97" t="s">
        <v>142</v>
      </c>
      <c r="G97" t="s">
        <v>50</v>
      </c>
      <c r="H97" t="s">
        <v>109</v>
      </c>
      <c r="I97" t="s">
        <v>31</v>
      </c>
      <c r="J97">
        <v>131976</v>
      </c>
      <c r="K97">
        <v>3</v>
      </c>
      <c r="L97">
        <v>0</v>
      </c>
      <c r="M97" t="s">
        <v>22</v>
      </c>
      <c r="N97" t="s">
        <v>23</v>
      </c>
    </row>
    <row r="98" spans="1:14">
      <c r="A98" t="s">
        <v>236</v>
      </c>
      <c r="B98" s="1">
        <v>45146</v>
      </c>
      <c r="C98" t="s">
        <v>170</v>
      </c>
      <c r="D98" t="s">
        <v>171</v>
      </c>
      <c r="E98" t="s">
        <v>84</v>
      </c>
      <c r="F98" t="s">
        <v>85</v>
      </c>
      <c r="G98" t="s">
        <v>69</v>
      </c>
      <c r="H98" t="s">
        <v>58</v>
      </c>
      <c r="I98" t="s">
        <v>59</v>
      </c>
      <c r="J98">
        <v>3024</v>
      </c>
      <c r="K98">
        <v>4</v>
      </c>
      <c r="L98">
        <v>273</v>
      </c>
      <c r="M98" t="s">
        <v>40</v>
      </c>
      <c r="N98" t="s">
        <v>130</v>
      </c>
    </row>
    <row r="99" spans="1:14">
      <c r="A99" t="s">
        <v>237</v>
      </c>
      <c r="B99" s="1">
        <v>45055</v>
      </c>
      <c r="C99" t="s">
        <v>34</v>
      </c>
      <c r="D99" t="s">
        <v>35</v>
      </c>
      <c r="E99" t="s">
        <v>84</v>
      </c>
      <c r="F99" t="s">
        <v>85</v>
      </c>
      <c r="G99" t="s">
        <v>69</v>
      </c>
      <c r="H99" t="s">
        <v>137</v>
      </c>
      <c r="I99" t="s">
        <v>93</v>
      </c>
      <c r="J99">
        <v>1790</v>
      </c>
      <c r="K99">
        <v>1</v>
      </c>
      <c r="L99">
        <v>390</v>
      </c>
      <c r="M99" t="s">
        <v>40</v>
      </c>
      <c r="N99" t="s">
        <v>32</v>
      </c>
    </row>
    <row r="100" spans="1:14">
      <c r="A100" t="s">
        <v>238</v>
      </c>
      <c r="B100" s="1">
        <v>44954</v>
      </c>
      <c r="C100" t="s">
        <v>81</v>
      </c>
      <c r="D100" t="s">
        <v>82</v>
      </c>
      <c r="E100" t="s">
        <v>36</v>
      </c>
      <c r="F100" t="s">
        <v>37</v>
      </c>
      <c r="G100" t="s">
        <v>19</v>
      </c>
      <c r="H100" t="s">
        <v>154</v>
      </c>
      <c r="I100" t="s">
        <v>93</v>
      </c>
      <c r="J100">
        <v>1165.5</v>
      </c>
      <c r="K100">
        <v>1</v>
      </c>
      <c r="L100">
        <v>212.88</v>
      </c>
      <c r="M100" t="s">
        <v>90</v>
      </c>
      <c r="N100" t="s">
        <v>41</v>
      </c>
    </row>
    <row r="101" spans="1:14">
      <c r="A101" t="s">
        <v>239</v>
      </c>
      <c r="B101" s="1">
        <v>45071</v>
      </c>
      <c r="C101" t="s">
        <v>25</v>
      </c>
      <c r="D101" t="s">
        <v>26</v>
      </c>
      <c r="E101" t="s">
        <v>27</v>
      </c>
      <c r="F101" t="s">
        <v>28</v>
      </c>
      <c r="G101" t="s">
        <v>29</v>
      </c>
      <c r="H101" t="s">
        <v>105</v>
      </c>
      <c r="I101" t="s">
        <v>59</v>
      </c>
      <c r="J101">
        <v>44996.4</v>
      </c>
      <c r="K101">
        <v>4</v>
      </c>
      <c r="L101">
        <v>-9549.7000000000007</v>
      </c>
      <c r="M101" t="s">
        <v>63</v>
      </c>
      <c r="N101" t="s">
        <v>32</v>
      </c>
    </row>
    <row r="102" spans="1:14">
      <c r="A102" t="s">
        <v>240</v>
      </c>
      <c r="B102" s="1">
        <v>45110</v>
      </c>
      <c r="C102" t="s">
        <v>132</v>
      </c>
      <c r="D102" t="s">
        <v>133</v>
      </c>
      <c r="E102" t="s">
        <v>27</v>
      </c>
      <c r="F102" t="s">
        <v>28</v>
      </c>
      <c r="G102" t="s">
        <v>29</v>
      </c>
      <c r="H102" t="s">
        <v>164</v>
      </c>
      <c r="I102" t="s">
        <v>39</v>
      </c>
      <c r="J102">
        <v>4796.8</v>
      </c>
      <c r="K102">
        <v>4</v>
      </c>
      <c r="L102">
        <v>540.6</v>
      </c>
      <c r="M102" t="s">
        <v>22</v>
      </c>
      <c r="N102" t="s">
        <v>32</v>
      </c>
    </row>
    <row r="103" spans="1:14">
      <c r="A103" t="s">
        <v>241</v>
      </c>
      <c r="B103" s="1">
        <v>45270</v>
      </c>
      <c r="C103" t="s">
        <v>15</v>
      </c>
      <c r="D103" t="s">
        <v>16</v>
      </c>
      <c r="E103" t="s">
        <v>98</v>
      </c>
      <c r="F103" t="s">
        <v>68</v>
      </c>
      <c r="G103" t="s">
        <v>69</v>
      </c>
      <c r="H103" t="s">
        <v>79</v>
      </c>
      <c r="I103" t="s">
        <v>31</v>
      </c>
      <c r="J103">
        <v>41990</v>
      </c>
      <c r="K103">
        <v>1</v>
      </c>
      <c r="L103">
        <v>4500</v>
      </c>
      <c r="M103" t="s">
        <v>22</v>
      </c>
      <c r="N103" t="s">
        <v>32</v>
      </c>
    </row>
    <row r="104" spans="1:14">
      <c r="A104" t="s">
        <v>242</v>
      </c>
      <c r="B104" s="1">
        <v>45154</v>
      </c>
      <c r="C104" t="s">
        <v>72</v>
      </c>
      <c r="D104" t="s">
        <v>73</v>
      </c>
      <c r="E104" t="s">
        <v>95</v>
      </c>
      <c r="F104" t="s">
        <v>96</v>
      </c>
      <c r="G104" t="s">
        <v>19</v>
      </c>
      <c r="H104" t="s">
        <v>99</v>
      </c>
      <c r="I104" t="s">
        <v>21</v>
      </c>
      <c r="J104">
        <v>799</v>
      </c>
      <c r="K104">
        <v>1</v>
      </c>
      <c r="L104">
        <v>250</v>
      </c>
      <c r="M104" t="s">
        <v>40</v>
      </c>
      <c r="N104" t="s">
        <v>130</v>
      </c>
    </row>
    <row r="105" spans="1:14">
      <c r="A105" t="s">
        <v>243</v>
      </c>
      <c r="B105" s="1">
        <v>45204</v>
      </c>
      <c r="C105" t="s">
        <v>175</v>
      </c>
      <c r="D105" t="s">
        <v>176</v>
      </c>
      <c r="E105" t="s">
        <v>103</v>
      </c>
      <c r="F105" t="s">
        <v>104</v>
      </c>
      <c r="G105" t="s">
        <v>19</v>
      </c>
      <c r="H105" t="s">
        <v>111</v>
      </c>
      <c r="I105" t="s">
        <v>59</v>
      </c>
      <c r="J105">
        <v>3056.6</v>
      </c>
      <c r="K105">
        <v>4</v>
      </c>
      <c r="L105">
        <v>-884.55</v>
      </c>
      <c r="M105" t="s">
        <v>63</v>
      </c>
      <c r="N105" t="s">
        <v>41</v>
      </c>
    </row>
    <row r="106" spans="1:14">
      <c r="A106" t="s">
        <v>244</v>
      </c>
      <c r="B106" s="1">
        <v>45123</v>
      </c>
      <c r="C106" t="s">
        <v>61</v>
      </c>
      <c r="D106" t="s">
        <v>62</v>
      </c>
      <c r="E106" t="s">
        <v>27</v>
      </c>
      <c r="F106" t="s">
        <v>28</v>
      </c>
      <c r="G106" t="s">
        <v>29</v>
      </c>
      <c r="H106" t="s">
        <v>164</v>
      </c>
      <c r="I106" t="s">
        <v>39</v>
      </c>
      <c r="J106">
        <v>1499</v>
      </c>
      <c r="K106">
        <v>1</v>
      </c>
      <c r="L106">
        <v>360</v>
      </c>
      <c r="M106" t="s">
        <v>22</v>
      </c>
      <c r="N106" t="s">
        <v>32</v>
      </c>
    </row>
    <row r="107" spans="1:14">
      <c r="A107" t="s">
        <v>245</v>
      </c>
      <c r="B107" s="1">
        <v>45052</v>
      </c>
      <c r="C107" t="s">
        <v>175</v>
      </c>
      <c r="D107" t="s">
        <v>176</v>
      </c>
      <c r="E107" t="s">
        <v>124</v>
      </c>
      <c r="F107" t="s">
        <v>125</v>
      </c>
      <c r="G107" t="s">
        <v>50</v>
      </c>
      <c r="H107" t="s">
        <v>38</v>
      </c>
      <c r="I107" t="s">
        <v>39</v>
      </c>
      <c r="J107">
        <v>1996</v>
      </c>
      <c r="K107">
        <v>4</v>
      </c>
      <c r="L107">
        <v>640</v>
      </c>
      <c r="M107" t="s">
        <v>22</v>
      </c>
      <c r="N107" t="s">
        <v>32</v>
      </c>
    </row>
    <row r="108" spans="1:14">
      <c r="A108" t="s">
        <v>246</v>
      </c>
      <c r="B108" s="1">
        <v>45271</v>
      </c>
      <c r="C108" t="s">
        <v>220</v>
      </c>
      <c r="D108" t="s">
        <v>221</v>
      </c>
      <c r="E108" t="s">
        <v>67</v>
      </c>
      <c r="F108" t="s">
        <v>68</v>
      </c>
      <c r="G108" t="s">
        <v>69</v>
      </c>
      <c r="H108" t="s">
        <v>58</v>
      </c>
      <c r="I108" t="s">
        <v>59</v>
      </c>
      <c r="J108">
        <v>1795.5</v>
      </c>
      <c r="K108">
        <v>2</v>
      </c>
      <c r="L108">
        <v>349.12</v>
      </c>
      <c r="M108" t="s">
        <v>63</v>
      </c>
      <c r="N108" t="s">
        <v>130</v>
      </c>
    </row>
    <row r="109" spans="1:14">
      <c r="A109" t="s">
        <v>247</v>
      </c>
      <c r="B109" s="1">
        <v>45265</v>
      </c>
      <c r="C109" t="s">
        <v>15</v>
      </c>
      <c r="D109" t="s">
        <v>16</v>
      </c>
      <c r="E109" t="s">
        <v>103</v>
      </c>
      <c r="F109" t="s">
        <v>104</v>
      </c>
      <c r="G109" t="s">
        <v>19</v>
      </c>
      <c r="H109" t="s">
        <v>109</v>
      </c>
      <c r="I109" t="s">
        <v>31</v>
      </c>
      <c r="J109">
        <v>46741.5</v>
      </c>
      <c r="K109">
        <v>1</v>
      </c>
      <c r="L109">
        <v>0</v>
      </c>
      <c r="M109" t="s">
        <v>22</v>
      </c>
      <c r="N109" t="s">
        <v>23</v>
      </c>
    </row>
    <row r="110" spans="1:14">
      <c r="A110" t="s">
        <v>248</v>
      </c>
      <c r="B110" s="1">
        <v>45044</v>
      </c>
      <c r="C110" t="s">
        <v>122</v>
      </c>
      <c r="D110" t="s">
        <v>123</v>
      </c>
      <c r="E110" t="s">
        <v>135</v>
      </c>
      <c r="F110" t="s">
        <v>136</v>
      </c>
      <c r="G110" t="s">
        <v>69</v>
      </c>
      <c r="H110" t="s">
        <v>177</v>
      </c>
      <c r="I110" t="s">
        <v>93</v>
      </c>
      <c r="J110">
        <v>2398.4</v>
      </c>
      <c r="K110">
        <v>2</v>
      </c>
      <c r="L110">
        <v>310.3</v>
      </c>
      <c r="M110" t="s">
        <v>40</v>
      </c>
      <c r="N110" t="s">
        <v>130</v>
      </c>
    </row>
    <row r="111" spans="1:14">
      <c r="A111" t="s">
        <v>249</v>
      </c>
      <c r="B111" s="1">
        <v>45122</v>
      </c>
      <c r="C111" t="s">
        <v>101</v>
      </c>
      <c r="D111" t="s">
        <v>102</v>
      </c>
      <c r="E111" t="s">
        <v>103</v>
      </c>
      <c r="F111" t="s">
        <v>104</v>
      </c>
      <c r="G111" t="s">
        <v>19</v>
      </c>
      <c r="H111" t="s">
        <v>117</v>
      </c>
      <c r="I111" t="s">
        <v>93</v>
      </c>
      <c r="J111">
        <v>8276.4</v>
      </c>
      <c r="K111">
        <v>4</v>
      </c>
      <c r="L111">
        <v>-1409.7</v>
      </c>
      <c r="M111" t="s">
        <v>40</v>
      </c>
      <c r="N111" t="s">
        <v>32</v>
      </c>
    </row>
    <row r="112" spans="1:14">
      <c r="A112" t="s">
        <v>250</v>
      </c>
      <c r="B112" s="1">
        <v>45197</v>
      </c>
      <c r="C112" t="s">
        <v>43</v>
      </c>
      <c r="D112" t="s">
        <v>44</v>
      </c>
      <c r="E112" t="s">
        <v>36</v>
      </c>
      <c r="F112" t="s">
        <v>37</v>
      </c>
      <c r="G112" t="s">
        <v>19</v>
      </c>
      <c r="H112" t="s">
        <v>58</v>
      </c>
      <c r="I112" t="s">
        <v>59</v>
      </c>
      <c r="J112">
        <v>2409.75</v>
      </c>
      <c r="K112">
        <v>3</v>
      </c>
      <c r="L112">
        <v>-361.46</v>
      </c>
      <c r="M112" t="s">
        <v>90</v>
      </c>
      <c r="N112" t="s">
        <v>75</v>
      </c>
    </row>
    <row r="113" spans="1:14">
      <c r="A113" t="s">
        <v>251</v>
      </c>
      <c r="B113" s="1">
        <v>45225</v>
      </c>
      <c r="C113" t="s">
        <v>77</v>
      </c>
      <c r="D113" t="s">
        <v>78</v>
      </c>
      <c r="E113" t="s">
        <v>49</v>
      </c>
      <c r="F113" t="s">
        <v>49</v>
      </c>
      <c r="G113" t="s">
        <v>50</v>
      </c>
      <c r="H113" t="s">
        <v>230</v>
      </c>
      <c r="I113" t="s">
        <v>39</v>
      </c>
      <c r="J113">
        <v>2336.4</v>
      </c>
      <c r="K113">
        <v>4</v>
      </c>
      <c r="L113">
        <v>685.3</v>
      </c>
      <c r="M113" t="s">
        <v>22</v>
      </c>
      <c r="N113" t="s">
        <v>32</v>
      </c>
    </row>
    <row r="114" spans="1:14">
      <c r="A114" t="s">
        <v>252</v>
      </c>
      <c r="B114" s="1">
        <v>45272</v>
      </c>
      <c r="C114" t="s">
        <v>132</v>
      </c>
      <c r="D114" t="s">
        <v>133</v>
      </c>
      <c r="E114" t="s">
        <v>36</v>
      </c>
      <c r="F114" t="s">
        <v>37</v>
      </c>
      <c r="G114" t="s">
        <v>19</v>
      </c>
      <c r="H114" t="s">
        <v>99</v>
      </c>
      <c r="I114" t="s">
        <v>21</v>
      </c>
      <c r="J114">
        <v>639.20000000000005</v>
      </c>
      <c r="K114">
        <v>1</v>
      </c>
      <c r="L114">
        <v>130.15</v>
      </c>
      <c r="M114" t="s">
        <v>63</v>
      </c>
      <c r="N114" t="s">
        <v>32</v>
      </c>
    </row>
    <row r="115" spans="1:14">
      <c r="A115" t="s">
        <v>253</v>
      </c>
      <c r="B115" s="1">
        <v>45206</v>
      </c>
      <c r="C115" t="s">
        <v>101</v>
      </c>
      <c r="D115" t="s">
        <v>102</v>
      </c>
      <c r="E115" t="s">
        <v>95</v>
      </c>
      <c r="F115" t="s">
        <v>96</v>
      </c>
      <c r="G115" t="s">
        <v>19</v>
      </c>
      <c r="H115" t="s">
        <v>45</v>
      </c>
      <c r="I115" t="s">
        <v>21</v>
      </c>
      <c r="J115">
        <v>3312.45</v>
      </c>
      <c r="K115">
        <v>3</v>
      </c>
      <c r="L115">
        <v>521.59</v>
      </c>
      <c r="M115" t="s">
        <v>40</v>
      </c>
      <c r="N115" t="s">
        <v>32</v>
      </c>
    </row>
    <row r="116" spans="1:14">
      <c r="A116" t="s">
        <v>254</v>
      </c>
      <c r="B116" s="1">
        <v>45005</v>
      </c>
      <c r="C116" t="s">
        <v>160</v>
      </c>
      <c r="D116" t="s">
        <v>161</v>
      </c>
      <c r="E116" t="s">
        <v>157</v>
      </c>
      <c r="F116" t="s">
        <v>158</v>
      </c>
      <c r="G116" t="s">
        <v>29</v>
      </c>
      <c r="H116" t="s">
        <v>137</v>
      </c>
      <c r="I116" t="s">
        <v>93</v>
      </c>
      <c r="J116">
        <v>3580</v>
      </c>
      <c r="K116">
        <v>2</v>
      </c>
      <c r="L116">
        <v>780</v>
      </c>
      <c r="M116" t="s">
        <v>63</v>
      </c>
      <c r="N116" t="s">
        <v>32</v>
      </c>
    </row>
    <row r="117" spans="1:14">
      <c r="A117" t="s">
        <v>255</v>
      </c>
      <c r="B117" s="1">
        <v>45152</v>
      </c>
      <c r="C117" t="s">
        <v>160</v>
      </c>
      <c r="D117" t="s">
        <v>161</v>
      </c>
      <c r="E117" t="s">
        <v>135</v>
      </c>
      <c r="F117" t="s">
        <v>136</v>
      </c>
      <c r="G117" t="s">
        <v>69</v>
      </c>
      <c r="H117" t="s">
        <v>99</v>
      </c>
      <c r="I117" t="s">
        <v>21</v>
      </c>
      <c r="J117">
        <v>679.15</v>
      </c>
      <c r="K117">
        <v>1</v>
      </c>
      <c r="L117">
        <v>160.11000000000001</v>
      </c>
      <c r="M117" t="s">
        <v>22</v>
      </c>
      <c r="N117" t="s">
        <v>32</v>
      </c>
    </row>
    <row r="118" spans="1:14">
      <c r="A118" t="s">
        <v>256</v>
      </c>
      <c r="B118" s="1">
        <v>45002</v>
      </c>
      <c r="C118" t="s">
        <v>25</v>
      </c>
      <c r="D118" t="s">
        <v>26</v>
      </c>
      <c r="E118" t="s">
        <v>49</v>
      </c>
      <c r="F118" t="s">
        <v>49</v>
      </c>
      <c r="G118" t="s">
        <v>50</v>
      </c>
      <c r="H118" t="s">
        <v>74</v>
      </c>
      <c r="I118" t="s">
        <v>31</v>
      </c>
      <c r="J118">
        <v>124768</v>
      </c>
      <c r="K118">
        <v>4</v>
      </c>
      <c r="L118">
        <v>-6994</v>
      </c>
      <c r="M118" t="s">
        <v>22</v>
      </c>
      <c r="N118" t="s">
        <v>32</v>
      </c>
    </row>
    <row r="119" spans="1:14">
      <c r="A119" t="s">
        <v>257</v>
      </c>
      <c r="B119" s="1">
        <v>45113</v>
      </c>
      <c r="C119" t="s">
        <v>61</v>
      </c>
      <c r="D119" t="s">
        <v>62</v>
      </c>
      <c r="E119" t="s">
        <v>49</v>
      </c>
      <c r="F119" t="s">
        <v>49</v>
      </c>
      <c r="G119" t="s">
        <v>50</v>
      </c>
      <c r="H119" t="s">
        <v>184</v>
      </c>
      <c r="I119" t="s">
        <v>39</v>
      </c>
      <c r="J119">
        <v>446.25</v>
      </c>
      <c r="K119">
        <v>1</v>
      </c>
      <c r="L119">
        <v>115.94</v>
      </c>
      <c r="M119" t="s">
        <v>40</v>
      </c>
      <c r="N119" t="s">
        <v>32</v>
      </c>
    </row>
    <row r="120" spans="1:14">
      <c r="A120" t="s">
        <v>258</v>
      </c>
      <c r="B120" s="1">
        <v>45028</v>
      </c>
      <c r="C120" t="s">
        <v>101</v>
      </c>
      <c r="D120" t="s">
        <v>102</v>
      </c>
      <c r="E120" t="s">
        <v>56</v>
      </c>
      <c r="F120" t="s">
        <v>57</v>
      </c>
      <c r="G120" t="s">
        <v>50</v>
      </c>
      <c r="H120" t="s">
        <v>111</v>
      </c>
      <c r="I120" t="s">
        <v>59</v>
      </c>
      <c r="J120">
        <v>2292.4499999999998</v>
      </c>
      <c r="K120">
        <v>3</v>
      </c>
      <c r="L120">
        <v>-663.41</v>
      </c>
      <c r="M120" t="s">
        <v>40</v>
      </c>
      <c r="N120" t="s">
        <v>32</v>
      </c>
    </row>
    <row r="121" spans="1:14">
      <c r="A121" t="s">
        <v>259</v>
      </c>
      <c r="B121" s="1">
        <v>45188</v>
      </c>
      <c r="C121" t="s">
        <v>34</v>
      </c>
      <c r="D121" t="s">
        <v>35</v>
      </c>
      <c r="E121" t="s">
        <v>27</v>
      </c>
      <c r="F121" t="s">
        <v>28</v>
      </c>
      <c r="G121" t="s">
        <v>29</v>
      </c>
      <c r="H121" t="s">
        <v>79</v>
      </c>
      <c r="I121" t="s">
        <v>31</v>
      </c>
      <c r="J121">
        <v>39890.5</v>
      </c>
      <c r="K121">
        <v>1</v>
      </c>
      <c r="L121">
        <v>2925.38</v>
      </c>
      <c r="M121" t="s">
        <v>90</v>
      </c>
      <c r="N121" t="s">
        <v>32</v>
      </c>
    </row>
    <row r="122" spans="1:14">
      <c r="A122" t="s">
        <v>260</v>
      </c>
      <c r="B122" s="1">
        <v>45244</v>
      </c>
      <c r="C122" t="s">
        <v>119</v>
      </c>
      <c r="D122" t="s">
        <v>120</v>
      </c>
      <c r="E122" t="s">
        <v>124</v>
      </c>
      <c r="F122" t="s">
        <v>125</v>
      </c>
      <c r="G122" t="s">
        <v>50</v>
      </c>
      <c r="H122" t="s">
        <v>261</v>
      </c>
      <c r="I122" t="s">
        <v>21</v>
      </c>
      <c r="J122">
        <v>43998</v>
      </c>
      <c r="K122">
        <v>2</v>
      </c>
      <c r="L122">
        <v>4800</v>
      </c>
      <c r="N122" t="s">
        <v>32</v>
      </c>
    </row>
    <row r="123" spans="1:14">
      <c r="A123" t="s">
        <v>262</v>
      </c>
      <c r="B123" s="1">
        <v>45271</v>
      </c>
      <c r="C123" t="s">
        <v>77</v>
      </c>
      <c r="D123" t="s">
        <v>78</v>
      </c>
      <c r="E123" t="s">
        <v>157</v>
      </c>
      <c r="F123" t="s">
        <v>158</v>
      </c>
      <c r="G123" t="s">
        <v>29</v>
      </c>
      <c r="H123" t="s">
        <v>51</v>
      </c>
      <c r="I123" t="s">
        <v>31</v>
      </c>
      <c r="J123">
        <v>17998</v>
      </c>
      <c r="K123">
        <v>2</v>
      </c>
      <c r="L123">
        <v>2400</v>
      </c>
      <c r="M123" t="s">
        <v>40</v>
      </c>
      <c r="N123" t="s">
        <v>32</v>
      </c>
    </row>
    <row r="124" spans="1:14">
      <c r="A124" t="s">
        <v>263</v>
      </c>
      <c r="B124" s="1">
        <v>45050</v>
      </c>
      <c r="C124" t="s">
        <v>170</v>
      </c>
      <c r="D124" t="s">
        <v>171</v>
      </c>
      <c r="E124" t="s">
        <v>124</v>
      </c>
      <c r="F124" t="s">
        <v>125</v>
      </c>
      <c r="G124" t="s">
        <v>50</v>
      </c>
      <c r="H124" t="s">
        <v>58</v>
      </c>
      <c r="I124" t="s">
        <v>59</v>
      </c>
      <c r="J124">
        <v>803.25</v>
      </c>
      <c r="K124">
        <v>1</v>
      </c>
      <c r="L124">
        <v>103.69</v>
      </c>
      <c r="M124" t="s">
        <v>40</v>
      </c>
      <c r="N124" t="s">
        <v>32</v>
      </c>
    </row>
    <row r="125" spans="1:14">
      <c r="A125" t="s">
        <v>264</v>
      </c>
      <c r="B125" s="1">
        <v>45021</v>
      </c>
      <c r="C125" t="s">
        <v>72</v>
      </c>
      <c r="D125" t="s">
        <v>73</v>
      </c>
      <c r="E125" t="s">
        <v>87</v>
      </c>
      <c r="F125" t="s">
        <v>88</v>
      </c>
      <c r="G125" t="s">
        <v>29</v>
      </c>
      <c r="H125" t="s">
        <v>92</v>
      </c>
      <c r="I125" t="s">
        <v>93</v>
      </c>
      <c r="J125">
        <v>7122.15</v>
      </c>
      <c r="K125">
        <v>3</v>
      </c>
      <c r="L125">
        <v>1668.86</v>
      </c>
      <c r="M125" t="s">
        <v>63</v>
      </c>
      <c r="N125" t="s">
        <v>32</v>
      </c>
    </row>
    <row r="126" spans="1:14">
      <c r="A126" t="s">
        <v>265</v>
      </c>
      <c r="B126" s="1">
        <v>45260</v>
      </c>
      <c r="C126" t="s">
        <v>77</v>
      </c>
      <c r="D126" t="s">
        <v>78</v>
      </c>
      <c r="E126" t="s">
        <v>56</v>
      </c>
      <c r="F126" t="s">
        <v>57</v>
      </c>
      <c r="G126" t="s">
        <v>50</v>
      </c>
      <c r="H126" t="s">
        <v>215</v>
      </c>
      <c r="I126" t="s">
        <v>59</v>
      </c>
      <c r="J126">
        <v>5849.1</v>
      </c>
      <c r="K126">
        <v>1</v>
      </c>
      <c r="L126">
        <v>462.57</v>
      </c>
      <c r="M126" t="s">
        <v>22</v>
      </c>
      <c r="N126" t="s">
        <v>32</v>
      </c>
    </row>
    <row r="127" spans="1:14">
      <c r="A127" t="s">
        <v>266</v>
      </c>
      <c r="B127" s="1">
        <v>45208</v>
      </c>
      <c r="C127" t="s">
        <v>34</v>
      </c>
      <c r="D127" t="s">
        <v>35</v>
      </c>
      <c r="E127" t="s">
        <v>98</v>
      </c>
      <c r="F127" t="s">
        <v>68</v>
      </c>
      <c r="G127" t="s">
        <v>69</v>
      </c>
      <c r="H127" t="s">
        <v>189</v>
      </c>
      <c r="I127" t="s">
        <v>59</v>
      </c>
      <c r="J127">
        <v>1665</v>
      </c>
      <c r="K127">
        <v>1</v>
      </c>
      <c r="L127">
        <v>201.25</v>
      </c>
      <c r="M127" t="s">
        <v>63</v>
      </c>
      <c r="N127" t="s">
        <v>32</v>
      </c>
    </row>
    <row r="128" spans="1:14">
      <c r="A128" t="s">
        <v>267</v>
      </c>
      <c r="B128" s="1">
        <v>45109</v>
      </c>
      <c r="C128" t="s">
        <v>132</v>
      </c>
      <c r="D128" t="s">
        <v>133</v>
      </c>
      <c r="E128" t="s">
        <v>36</v>
      </c>
      <c r="F128" t="s">
        <v>37</v>
      </c>
      <c r="G128" t="s">
        <v>19</v>
      </c>
      <c r="H128" t="s">
        <v>74</v>
      </c>
      <c r="I128" t="s">
        <v>31</v>
      </c>
      <c r="J128">
        <v>31192</v>
      </c>
      <c r="K128">
        <v>1</v>
      </c>
      <c r="L128">
        <v>-1748.5</v>
      </c>
      <c r="M128" t="s">
        <v>63</v>
      </c>
      <c r="N128" t="s">
        <v>32</v>
      </c>
    </row>
    <row r="129" spans="1:14">
      <c r="A129" t="s">
        <v>268</v>
      </c>
      <c r="B129" s="1">
        <v>45175</v>
      </c>
      <c r="C129" t="s">
        <v>160</v>
      </c>
      <c r="D129" t="s">
        <v>161</v>
      </c>
      <c r="E129" t="s">
        <v>141</v>
      </c>
      <c r="F129" t="s">
        <v>142</v>
      </c>
      <c r="G129" t="s">
        <v>50</v>
      </c>
      <c r="H129" t="s">
        <v>92</v>
      </c>
      <c r="I129" t="s">
        <v>93</v>
      </c>
      <c r="J129">
        <v>8496.6</v>
      </c>
      <c r="K129">
        <v>4</v>
      </c>
      <c r="L129">
        <v>1475.45</v>
      </c>
      <c r="M129" t="s">
        <v>22</v>
      </c>
      <c r="N129" t="s">
        <v>32</v>
      </c>
    </row>
    <row r="130" spans="1:14">
      <c r="A130" t="s">
        <v>269</v>
      </c>
      <c r="B130" s="1">
        <v>44993</v>
      </c>
      <c r="C130" t="s">
        <v>175</v>
      </c>
      <c r="D130" t="s">
        <v>176</v>
      </c>
      <c r="E130" t="s">
        <v>124</v>
      </c>
      <c r="F130" t="s">
        <v>125</v>
      </c>
      <c r="G130" t="s">
        <v>50</v>
      </c>
      <c r="H130" t="s">
        <v>230</v>
      </c>
      <c r="I130" t="s">
        <v>39</v>
      </c>
      <c r="J130">
        <v>616.54999999999995</v>
      </c>
      <c r="K130">
        <v>1</v>
      </c>
      <c r="L130">
        <v>195.66</v>
      </c>
      <c r="M130" t="s">
        <v>52</v>
      </c>
      <c r="N130" t="s">
        <v>32</v>
      </c>
    </row>
    <row r="131" spans="1:14">
      <c r="A131" t="s">
        <v>270</v>
      </c>
      <c r="B131" s="1">
        <v>45051</v>
      </c>
      <c r="C131" t="s">
        <v>175</v>
      </c>
      <c r="D131" t="s">
        <v>176</v>
      </c>
      <c r="E131" t="s">
        <v>95</v>
      </c>
      <c r="F131" t="s">
        <v>96</v>
      </c>
      <c r="G131" t="s">
        <v>19</v>
      </c>
      <c r="H131" t="s">
        <v>154</v>
      </c>
      <c r="I131" t="s">
        <v>93</v>
      </c>
      <c r="J131">
        <v>1165.5</v>
      </c>
      <c r="K131">
        <v>1</v>
      </c>
      <c r="L131">
        <v>212.88</v>
      </c>
      <c r="M131" t="s">
        <v>63</v>
      </c>
      <c r="N131" t="s">
        <v>32</v>
      </c>
    </row>
    <row r="132" spans="1:14">
      <c r="A132" t="s">
        <v>271</v>
      </c>
      <c r="B132" s="1">
        <v>45174</v>
      </c>
      <c r="C132" t="s">
        <v>175</v>
      </c>
      <c r="D132" t="s">
        <v>176</v>
      </c>
      <c r="E132" t="s">
        <v>27</v>
      </c>
      <c r="F132" t="s">
        <v>28</v>
      </c>
      <c r="G132" t="s">
        <v>29</v>
      </c>
      <c r="H132" t="s">
        <v>105</v>
      </c>
      <c r="I132" t="s">
        <v>59</v>
      </c>
      <c r="J132">
        <v>29997.599999999999</v>
      </c>
      <c r="K132">
        <v>3</v>
      </c>
      <c r="L132">
        <v>-9974.5499999999993</v>
      </c>
      <c r="M132" t="s">
        <v>22</v>
      </c>
      <c r="N132" t="s">
        <v>41</v>
      </c>
    </row>
    <row r="133" spans="1:14">
      <c r="A133" t="s">
        <v>272</v>
      </c>
      <c r="B133" s="1">
        <v>45261</v>
      </c>
      <c r="C133" t="s">
        <v>145</v>
      </c>
      <c r="D133" t="s">
        <v>146</v>
      </c>
      <c r="E133" t="s">
        <v>17</v>
      </c>
      <c r="F133" t="s">
        <v>18</v>
      </c>
      <c r="G133" t="s">
        <v>19</v>
      </c>
      <c r="H133" t="s">
        <v>143</v>
      </c>
      <c r="I133" t="s">
        <v>59</v>
      </c>
      <c r="J133">
        <v>3199</v>
      </c>
      <c r="K133">
        <v>1</v>
      </c>
      <c r="L133">
        <v>550</v>
      </c>
      <c r="M133" t="s">
        <v>40</v>
      </c>
      <c r="N133" t="s">
        <v>32</v>
      </c>
    </row>
    <row r="134" spans="1:14">
      <c r="A134" t="s">
        <v>273</v>
      </c>
      <c r="B134" s="1">
        <v>44986</v>
      </c>
      <c r="C134" t="s">
        <v>34</v>
      </c>
      <c r="D134" t="s">
        <v>35</v>
      </c>
      <c r="E134" t="s">
        <v>95</v>
      </c>
      <c r="F134" t="s">
        <v>96</v>
      </c>
      <c r="G134" t="s">
        <v>19</v>
      </c>
      <c r="H134" t="s">
        <v>147</v>
      </c>
      <c r="I134" t="s">
        <v>93</v>
      </c>
      <c r="J134">
        <v>1999</v>
      </c>
      <c r="K134">
        <v>1</v>
      </c>
      <c r="L134">
        <v>520</v>
      </c>
      <c r="M134" t="s">
        <v>22</v>
      </c>
      <c r="N134" t="s">
        <v>130</v>
      </c>
    </row>
    <row r="135" spans="1:14">
      <c r="A135" t="s">
        <v>274</v>
      </c>
      <c r="B135" s="1">
        <v>45037</v>
      </c>
      <c r="C135" t="s">
        <v>275</v>
      </c>
      <c r="D135" t="s">
        <v>276</v>
      </c>
      <c r="E135" t="s">
        <v>124</v>
      </c>
      <c r="F135" t="s">
        <v>125</v>
      </c>
      <c r="G135" t="s">
        <v>50</v>
      </c>
      <c r="H135" t="s">
        <v>117</v>
      </c>
      <c r="I135" t="s">
        <v>93</v>
      </c>
      <c r="J135">
        <v>1954.15</v>
      </c>
      <c r="K135">
        <v>1</v>
      </c>
      <c r="L135">
        <v>-438.64</v>
      </c>
      <c r="M135" t="s">
        <v>22</v>
      </c>
      <c r="N135" t="s">
        <v>32</v>
      </c>
    </row>
    <row r="136" spans="1:14">
      <c r="A136" t="s">
        <v>277</v>
      </c>
      <c r="B136" s="1">
        <v>45192</v>
      </c>
      <c r="C136" t="s">
        <v>220</v>
      </c>
      <c r="D136" t="s">
        <v>221</v>
      </c>
      <c r="E136" t="s">
        <v>157</v>
      </c>
      <c r="F136" t="s">
        <v>158</v>
      </c>
      <c r="G136" t="s">
        <v>29</v>
      </c>
      <c r="H136" t="s">
        <v>92</v>
      </c>
      <c r="I136" t="s">
        <v>93</v>
      </c>
      <c r="J136">
        <v>9496.2000000000007</v>
      </c>
      <c r="K136">
        <v>4</v>
      </c>
      <c r="L136">
        <v>2225.15</v>
      </c>
      <c r="M136" t="s">
        <v>90</v>
      </c>
      <c r="N136" t="s">
        <v>32</v>
      </c>
    </row>
    <row r="137" spans="1:14">
      <c r="A137" t="s">
        <v>278</v>
      </c>
      <c r="B137" s="1">
        <v>44966</v>
      </c>
      <c r="C137" t="s">
        <v>54</v>
      </c>
      <c r="D137" t="s">
        <v>55</v>
      </c>
      <c r="E137" t="s">
        <v>84</v>
      </c>
      <c r="F137" t="s">
        <v>85</v>
      </c>
      <c r="G137" t="s">
        <v>69</v>
      </c>
      <c r="H137" t="s">
        <v>117</v>
      </c>
      <c r="I137" t="s">
        <v>93</v>
      </c>
      <c r="J137">
        <v>6207.3</v>
      </c>
      <c r="K137">
        <v>3</v>
      </c>
      <c r="L137">
        <v>-1057.28</v>
      </c>
      <c r="M137" t="s">
        <v>63</v>
      </c>
      <c r="N137" t="s">
        <v>130</v>
      </c>
    </row>
    <row r="138" spans="1:14">
      <c r="A138" t="s">
        <v>279</v>
      </c>
      <c r="B138" s="1">
        <v>45000</v>
      </c>
      <c r="C138" t="s">
        <v>160</v>
      </c>
      <c r="D138" t="s">
        <v>161</v>
      </c>
      <c r="E138" t="s">
        <v>157</v>
      </c>
      <c r="F138" t="s">
        <v>158</v>
      </c>
      <c r="G138" t="s">
        <v>29</v>
      </c>
      <c r="H138" t="s">
        <v>38</v>
      </c>
      <c r="I138" t="s">
        <v>39</v>
      </c>
      <c r="J138">
        <v>1272.45</v>
      </c>
      <c r="K138">
        <v>3</v>
      </c>
      <c r="L138">
        <v>311.58999999999997</v>
      </c>
      <c r="M138" t="s">
        <v>22</v>
      </c>
      <c r="N138" t="s">
        <v>32</v>
      </c>
    </row>
    <row r="139" spans="1:14">
      <c r="A139" t="s">
        <v>280</v>
      </c>
      <c r="B139" s="1">
        <v>45281</v>
      </c>
      <c r="C139" t="s">
        <v>113</v>
      </c>
      <c r="D139" t="s">
        <v>114</v>
      </c>
      <c r="E139" t="s">
        <v>95</v>
      </c>
      <c r="F139" t="s">
        <v>96</v>
      </c>
      <c r="G139" t="s">
        <v>19</v>
      </c>
      <c r="H139" t="s">
        <v>74</v>
      </c>
      <c r="I139" t="s">
        <v>31</v>
      </c>
      <c r="J139">
        <v>38990</v>
      </c>
      <c r="K139">
        <v>1</v>
      </c>
      <c r="L139">
        <v>4100</v>
      </c>
      <c r="M139" t="s">
        <v>22</v>
      </c>
      <c r="N139" t="s">
        <v>32</v>
      </c>
    </row>
    <row r="140" spans="1:14">
      <c r="A140" t="s">
        <v>281</v>
      </c>
      <c r="B140" s="1">
        <v>45255</v>
      </c>
      <c r="C140" t="s">
        <v>145</v>
      </c>
      <c r="D140" t="s">
        <v>146</v>
      </c>
      <c r="E140" t="s">
        <v>124</v>
      </c>
      <c r="F140" t="s">
        <v>125</v>
      </c>
      <c r="G140" t="s">
        <v>50</v>
      </c>
      <c r="H140" t="s">
        <v>92</v>
      </c>
      <c r="I140" t="s">
        <v>93</v>
      </c>
      <c r="J140">
        <v>8996.4</v>
      </c>
      <c r="K140">
        <v>4</v>
      </c>
      <c r="L140">
        <v>1850.3</v>
      </c>
      <c r="M140" t="s">
        <v>63</v>
      </c>
      <c r="N140" t="s">
        <v>32</v>
      </c>
    </row>
    <row r="141" spans="1:14">
      <c r="A141" t="s">
        <v>282</v>
      </c>
      <c r="B141" s="1">
        <v>45028</v>
      </c>
      <c r="C141" t="s">
        <v>101</v>
      </c>
      <c r="D141" t="s">
        <v>102</v>
      </c>
      <c r="E141" t="s">
        <v>124</v>
      </c>
      <c r="F141" t="s">
        <v>125</v>
      </c>
      <c r="G141" t="s">
        <v>50</v>
      </c>
      <c r="H141" t="s">
        <v>261</v>
      </c>
      <c r="I141" t="s">
        <v>21</v>
      </c>
      <c r="J141">
        <v>41798.1</v>
      </c>
      <c r="K141">
        <v>2</v>
      </c>
      <c r="L141">
        <v>3150.07</v>
      </c>
      <c r="M141" t="s">
        <v>22</v>
      </c>
      <c r="N141" t="s">
        <v>32</v>
      </c>
    </row>
    <row r="142" spans="1:14">
      <c r="A142" t="s">
        <v>283</v>
      </c>
      <c r="B142" s="1">
        <v>45034</v>
      </c>
      <c r="C142" t="s">
        <v>25</v>
      </c>
      <c r="D142" t="s">
        <v>26</v>
      </c>
      <c r="E142" t="s">
        <v>36</v>
      </c>
      <c r="F142" t="s">
        <v>37</v>
      </c>
      <c r="G142" t="s">
        <v>19</v>
      </c>
      <c r="H142" t="s">
        <v>261</v>
      </c>
      <c r="I142" t="s">
        <v>21</v>
      </c>
      <c r="J142">
        <v>41798.1</v>
      </c>
      <c r="K142">
        <v>2</v>
      </c>
      <c r="L142">
        <v>-6269.71</v>
      </c>
      <c r="M142" t="s">
        <v>63</v>
      </c>
      <c r="N142" t="s">
        <v>75</v>
      </c>
    </row>
    <row r="143" spans="1:14">
      <c r="A143" t="s">
        <v>284</v>
      </c>
      <c r="B143" s="1">
        <v>45268</v>
      </c>
      <c r="C143" t="s">
        <v>149</v>
      </c>
      <c r="D143" t="s">
        <v>150</v>
      </c>
      <c r="E143" t="s">
        <v>84</v>
      </c>
      <c r="F143" t="s">
        <v>85</v>
      </c>
      <c r="G143" t="s">
        <v>69</v>
      </c>
      <c r="H143" t="s">
        <v>154</v>
      </c>
      <c r="I143" t="s">
        <v>93</v>
      </c>
      <c r="J143">
        <v>2072</v>
      </c>
      <c r="K143">
        <v>2</v>
      </c>
      <c r="L143">
        <v>231.5</v>
      </c>
      <c r="M143" t="s">
        <v>22</v>
      </c>
      <c r="N143" t="s">
        <v>32</v>
      </c>
    </row>
    <row r="144" spans="1:14">
      <c r="A144" t="s">
        <v>285</v>
      </c>
      <c r="B144" s="1">
        <v>45272</v>
      </c>
      <c r="C144" t="s">
        <v>220</v>
      </c>
      <c r="D144" t="s">
        <v>221</v>
      </c>
      <c r="E144" t="s">
        <v>87</v>
      </c>
      <c r="F144" t="s">
        <v>88</v>
      </c>
      <c r="G144" t="s">
        <v>29</v>
      </c>
      <c r="H144" t="s">
        <v>79</v>
      </c>
      <c r="I144" t="s">
        <v>31</v>
      </c>
      <c r="J144">
        <v>142766</v>
      </c>
      <c r="K144">
        <v>4</v>
      </c>
      <c r="L144">
        <v>-895.5</v>
      </c>
      <c r="M144" t="s">
        <v>22</v>
      </c>
      <c r="N144" t="s">
        <v>32</v>
      </c>
    </row>
    <row r="145" spans="1:14">
      <c r="A145" t="s">
        <v>286</v>
      </c>
      <c r="B145" s="1">
        <v>45158</v>
      </c>
      <c r="C145" t="s">
        <v>122</v>
      </c>
      <c r="D145" t="s">
        <v>123</v>
      </c>
      <c r="E145" t="s">
        <v>95</v>
      </c>
      <c r="F145" t="s">
        <v>96</v>
      </c>
      <c r="G145" t="s">
        <v>19</v>
      </c>
      <c r="H145" t="s">
        <v>230</v>
      </c>
      <c r="I145" t="s">
        <v>39</v>
      </c>
      <c r="J145">
        <v>1947</v>
      </c>
      <c r="K145">
        <v>3</v>
      </c>
      <c r="L145">
        <v>660</v>
      </c>
      <c r="M145" t="s">
        <v>22</v>
      </c>
      <c r="N145" t="s">
        <v>32</v>
      </c>
    </row>
    <row r="146" spans="1:14">
      <c r="A146" t="s">
        <v>287</v>
      </c>
      <c r="B146" s="1">
        <v>45248</v>
      </c>
      <c r="C146" t="s">
        <v>122</v>
      </c>
      <c r="D146" t="s">
        <v>123</v>
      </c>
      <c r="E146" t="s">
        <v>157</v>
      </c>
      <c r="F146" t="s">
        <v>158</v>
      </c>
      <c r="G146" t="s">
        <v>29</v>
      </c>
      <c r="H146" t="s">
        <v>117</v>
      </c>
      <c r="I146" t="s">
        <v>93</v>
      </c>
      <c r="J146">
        <v>8276.4</v>
      </c>
      <c r="K146">
        <v>4</v>
      </c>
      <c r="L146">
        <v>-1409.7</v>
      </c>
      <c r="M146" t="s">
        <v>22</v>
      </c>
      <c r="N146" t="s">
        <v>41</v>
      </c>
    </row>
    <row r="147" spans="1:14">
      <c r="A147" t="s">
        <v>288</v>
      </c>
      <c r="B147" s="1">
        <v>44960</v>
      </c>
      <c r="C147" t="s">
        <v>77</v>
      </c>
      <c r="D147" t="s">
        <v>78</v>
      </c>
      <c r="E147" t="s">
        <v>49</v>
      </c>
      <c r="F147" t="s">
        <v>49</v>
      </c>
      <c r="G147" t="s">
        <v>50</v>
      </c>
      <c r="H147" t="s">
        <v>45</v>
      </c>
      <c r="I147" t="s">
        <v>21</v>
      </c>
      <c r="J147">
        <v>4416.6000000000004</v>
      </c>
      <c r="K147">
        <v>4</v>
      </c>
      <c r="L147">
        <v>695.45</v>
      </c>
      <c r="M147" t="s">
        <v>40</v>
      </c>
      <c r="N147" t="s">
        <v>32</v>
      </c>
    </row>
    <row r="148" spans="1:14">
      <c r="A148" t="s">
        <v>289</v>
      </c>
      <c r="B148" s="1">
        <v>45094</v>
      </c>
      <c r="C148" t="s">
        <v>54</v>
      </c>
      <c r="D148" t="s">
        <v>55</v>
      </c>
      <c r="E148" t="s">
        <v>27</v>
      </c>
      <c r="F148" t="s">
        <v>28</v>
      </c>
      <c r="G148" t="s">
        <v>29</v>
      </c>
      <c r="H148" t="s">
        <v>92</v>
      </c>
      <c r="I148" t="s">
        <v>93</v>
      </c>
      <c r="J148">
        <v>4498.2</v>
      </c>
      <c r="K148">
        <v>2</v>
      </c>
      <c r="L148">
        <v>925.15</v>
      </c>
      <c r="M148" t="s">
        <v>22</v>
      </c>
      <c r="N148" t="s">
        <v>130</v>
      </c>
    </row>
    <row r="149" spans="1:14">
      <c r="A149" t="s">
        <v>290</v>
      </c>
      <c r="B149" s="1">
        <v>45005</v>
      </c>
      <c r="C149" t="s">
        <v>175</v>
      </c>
      <c r="D149" t="s">
        <v>176</v>
      </c>
      <c r="E149" t="s">
        <v>135</v>
      </c>
      <c r="F149" t="s">
        <v>136</v>
      </c>
      <c r="G149" t="s">
        <v>69</v>
      </c>
      <c r="H149" t="s">
        <v>99</v>
      </c>
      <c r="I149" t="s">
        <v>21</v>
      </c>
      <c r="J149">
        <v>759.05</v>
      </c>
      <c r="K149">
        <v>1</v>
      </c>
      <c r="L149">
        <v>220.04</v>
      </c>
      <c r="M149" t="s">
        <v>22</v>
      </c>
      <c r="N149" t="s">
        <v>41</v>
      </c>
    </row>
    <row r="150" spans="1:14">
      <c r="A150" t="s">
        <v>291</v>
      </c>
      <c r="B150" s="1">
        <v>45240</v>
      </c>
      <c r="C150" t="s">
        <v>34</v>
      </c>
      <c r="D150" t="s">
        <v>35</v>
      </c>
      <c r="E150" t="s">
        <v>36</v>
      </c>
      <c r="F150" t="s">
        <v>37</v>
      </c>
      <c r="G150" t="s">
        <v>19</v>
      </c>
      <c r="H150" t="s">
        <v>117</v>
      </c>
      <c r="I150" t="s">
        <v>93</v>
      </c>
      <c r="J150">
        <v>2299</v>
      </c>
      <c r="K150">
        <v>1</v>
      </c>
      <c r="L150">
        <v>-180</v>
      </c>
      <c r="M150" t="s">
        <v>22</v>
      </c>
      <c r="N150" t="s">
        <v>41</v>
      </c>
    </row>
    <row r="151" spans="1:14">
      <c r="A151" t="s">
        <v>292</v>
      </c>
      <c r="B151" s="1">
        <v>45206</v>
      </c>
      <c r="C151" t="s">
        <v>202</v>
      </c>
      <c r="D151" t="s">
        <v>203</v>
      </c>
      <c r="E151" t="s">
        <v>135</v>
      </c>
      <c r="F151" t="s">
        <v>136</v>
      </c>
      <c r="G151" t="s">
        <v>69</v>
      </c>
      <c r="H151" t="s">
        <v>126</v>
      </c>
      <c r="I151" t="s">
        <v>21</v>
      </c>
      <c r="J151">
        <v>31999.200000000001</v>
      </c>
      <c r="K151">
        <v>1</v>
      </c>
      <c r="L151">
        <v>-1199.8499999999999</v>
      </c>
      <c r="M151" t="s">
        <v>22</v>
      </c>
      <c r="N151" t="s">
        <v>32</v>
      </c>
    </row>
    <row r="152" spans="1:14">
      <c r="A152" t="s">
        <v>293</v>
      </c>
      <c r="B152" s="1">
        <v>45058</v>
      </c>
      <c r="C152" t="s">
        <v>25</v>
      </c>
      <c r="D152" t="s">
        <v>26</v>
      </c>
      <c r="E152" t="s">
        <v>157</v>
      </c>
      <c r="F152" t="s">
        <v>158</v>
      </c>
      <c r="G152" t="s">
        <v>29</v>
      </c>
      <c r="H152" t="s">
        <v>128</v>
      </c>
      <c r="I152" t="s">
        <v>31</v>
      </c>
      <c r="J152">
        <v>4036.5</v>
      </c>
      <c r="K152">
        <v>3</v>
      </c>
      <c r="L152">
        <v>713.62</v>
      </c>
      <c r="M152" t="s">
        <v>22</v>
      </c>
      <c r="N152" t="s">
        <v>32</v>
      </c>
    </row>
    <row r="153" spans="1:14">
      <c r="A153" t="s">
        <v>294</v>
      </c>
      <c r="B153" s="1">
        <v>45115</v>
      </c>
      <c r="C153" t="s">
        <v>77</v>
      </c>
      <c r="D153" t="s">
        <v>78</v>
      </c>
      <c r="E153" t="s">
        <v>141</v>
      </c>
      <c r="F153" t="s">
        <v>142</v>
      </c>
      <c r="G153" t="s">
        <v>50</v>
      </c>
      <c r="H153" t="s">
        <v>70</v>
      </c>
      <c r="I153" t="s">
        <v>39</v>
      </c>
      <c r="J153">
        <v>2340</v>
      </c>
      <c r="K153">
        <v>3</v>
      </c>
      <c r="L153">
        <v>720</v>
      </c>
      <c r="M153" t="s">
        <v>90</v>
      </c>
      <c r="N153" t="s">
        <v>32</v>
      </c>
    </row>
    <row r="154" spans="1:14">
      <c r="A154" t="s">
        <v>295</v>
      </c>
      <c r="B154" s="1">
        <v>44969</v>
      </c>
      <c r="C154" t="s">
        <v>54</v>
      </c>
      <c r="D154" t="s">
        <v>55</v>
      </c>
      <c r="E154" t="s">
        <v>98</v>
      </c>
      <c r="F154" t="s">
        <v>68</v>
      </c>
      <c r="G154" t="s">
        <v>69</v>
      </c>
      <c r="H154" t="s">
        <v>111</v>
      </c>
      <c r="I154" t="s">
        <v>59</v>
      </c>
      <c r="J154">
        <v>719.2</v>
      </c>
      <c r="K154">
        <v>1</v>
      </c>
      <c r="L154">
        <v>-254.85</v>
      </c>
      <c r="M154" t="s">
        <v>22</v>
      </c>
      <c r="N154" t="s">
        <v>32</v>
      </c>
    </row>
    <row r="155" spans="1:14">
      <c r="A155" t="s">
        <v>296</v>
      </c>
      <c r="B155" s="1">
        <v>44969</v>
      </c>
      <c r="C155" t="s">
        <v>145</v>
      </c>
      <c r="D155" t="s">
        <v>146</v>
      </c>
      <c r="E155" t="s">
        <v>95</v>
      </c>
      <c r="F155" t="s">
        <v>96</v>
      </c>
      <c r="G155" t="s">
        <v>19</v>
      </c>
      <c r="H155" t="s">
        <v>38</v>
      </c>
      <c r="I155" t="s">
        <v>39</v>
      </c>
      <c r="J155">
        <v>399.2</v>
      </c>
      <c r="K155">
        <v>1</v>
      </c>
      <c r="L155">
        <v>85.15</v>
      </c>
      <c r="M155" t="s">
        <v>63</v>
      </c>
      <c r="N155" t="s">
        <v>32</v>
      </c>
    </row>
    <row r="156" spans="1:14">
      <c r="A156" t="s">
        <v>297</v>
      </c>
      <c r="B156" s="1">
        <v>45258</v>
      </c>
      <c r="C156" t="s">
        <v>15</v>
      </c>
      <c r="D156" t="s">
        <v>16</v>
      </c>
      <c r="E156" t="s">
        <v>95</v>
      </c>
      <c r="F156" t="s">
        <v>96</v>
      </c>
      <c r="G156" t="s">
        <v>19</v>
      </c>
      <c r="H156" t="s">
        <v>154</v>
      </c>
      <c r="I156" t="s">
        <v>93</v>
      </c>
      <c r="J156">
        <v>3496.5</v>
      </c>
      <c r="K156">
        <v>3</v>
      </c>
      <c r="L156">
        <v>638.62</v>
      </c>
      <c r="M156" t="s">
        <v>40</v>
      </c>
      <c r="N156" t="s">
        <v>130</v>
      </c>
    </row>
    <row r="157" spans="1:14">
      <c r="A157" t="s">
        <v>298</v>
      </c>
      <c r="B157" s="1">
        <v>45062</v>
      </c>
      <c r="C157" t="s">
        <v>113</v>
      </c>
      <c r="D157" t="s">
        <v>114</v>
      </c>
      <c r="E157" t="s">
        <v>17</v>
      </c>
      <c r="F157" t="s">
        <v>18</v>
      </c>
      <c r="G157" t="s">
        <v>19</v>
      </c>
      <c r="H157" t="s">
        <v>137</v>
      </c>
      <c r="I157" t="s">
        <v>93</v>
      </c>
      <c r="J157">
        <v>4833</v>
      </c>
      <c r="K157">
        <v>3</v>
      </c>
      <c r="L157">
        <v>767.25</v>
      </c>
      <c r="M157" t="s">
        <v>22</v>
      </c>
      <c r="N157" t="s">
        <v>32</v>
      </c>
    </row>
    <row r="158" spans="1:14">
      <c r="A158" t="s">
        <v>299</v>
      </c>
      <c r="B158" s="1">
        <v>45236</v>
      </c>
      <c r="C158" t="s">
        <v>170</v>
      </c>
      <c r="D158" t="s">
        <v>171</v>
      </c>
      <c r="E158" t="s">
        <v>84</v>
      </c>
      <c r="F158" t="s">
        <v>85</v>
      </c>
      <c r="G158" t="s">
        <v>69</v>
      </c>
      <c r="H158" t="s">
        <v>189</v>
      </c>
      <c r="I158" t="s">
        <v>59</v>
      </c>
      <c r="J158">
        <v>7400</v>
      </c>
      <c r="K158">
        <v>4</v>
      </c>
      <c r="L158">
        <v>1360</v>
      </c>
      <c r="M158" t="s">
        <v>22</v>
      </c>
      <c r="N158" t="s">
        <v>32</v>
      </c>
    </row>
    <row r="159" spans="1:14">
      <c r="A159" t="s">
        <v>300</v>
      </c>
      <c r="B159" s="1">
        <v>45015</v>
      </c>
      <c r="C159" t="s">
        <v>149</v>
      </c>
      <c r="D159" t="s">
        <v>150</v>
      </c>
      <c r="E159" t="s">
        <v>124</v>
      </c>
      <c r="F159" t="s">
        <v>125</v>
      </c>
      <c r="G159" t="s">
        <v>50</v>
      </c>
      <c r="H159" t="s">
        <v>177</v>
      </c>
      <c r="I159" t="s">
        <v>93</v>
      </c>
      <c r="J159">
        <v>4796.8</v>
      </c>
      <c r="K159">
        <v>4</v>
      </c>
      <c r="L159">
        <v>620.6</v>
      </c>
      <c r="M159" t="s">
        <v>22</v>
      </c>
      <c r="N159" t="s">
        <v>32</v>
      </c>
    </row>
    <row r="160" spans="1:14">
      <c r="A160" t="s">
        <v>301</v>
      </c>
      <c r="B160" s="1">
        <v>45226</v>
      </c>
      <c r="C160" t="s">
        <v>43</v>
      </c>
      <c r="D160" t="s">
        <v>44</v>
      </c>
      <c r="E160" t="s">
        <v>27</v>
      </c>
      <c r="F160" t="s">
        <v>28</v>
      </c>
      <c r="G160" t="s">
        <v>29</v>
      </c>
      <c r="H160" t="s">
        <v>74</v>
      </c>
      <c r="I160" t="s">
        <v>31</v>
      </c>
      <c r="J160">
        <v>38990</v>
      </c>
      <c r="K160">
        <v>1</v>
      </c>
      <c r="L160">
        <v>4100</v>
      </c>
      <c r="M160" t="s">
        <v>90</v>
      </c>
      <c r="N160" t="s">
        <v>32</v>
      </c>
    </row>
    <row r="161" spans="1:14">
      <c r="A161" t="s">
        <v>302</v>
      </c>
      <c r="B161" s="1">
        <v>44989</v>
      </c>
      <c r="C161" t="s">
        <v>275</v>
      </c>
      <c r="D161" t="s">
        <v>276</v>
      </c>
      <c r="E161" t="s">
        <v>17</v>
      </c>
      <c r="F161" t="s">
        <v>18</v>
      </c>
      <c r="G161" t="s">
        <v>19</v>
      </c>
      <c r="H161" t="s">
        <v>117</v>
      </c>
      <c r="I161" t="s">
        <v>93</v>
      </c>
      <c r="J161">
        <v>6897</v>
      </c>
      <c r="K161">
        <v>3</v>
      </c>
      <c r="L161">
        <v>-540</v>
      </c>
      <c r="M161" t="s">
        <v>40</v>
      </c>
      <c r="N161" t="s">
        <v>32</v>
      </c>
    </row>
    <row r="162" spans="1:14">
      <c r="A162" t="s">
        <v>303</v>
      </c>
      <c r="B162" s="1">
        <v>44951</v>
      </c>
      <c r="C162" t="s">
        <v>119</v>
      </c>
      <c r="D162" t="s">
        <v>120</v>
      </c>
      <c r="E162" t="s">
        <v>98</v>
      </c>
      <c r="F162" t="s">
        <v>68</v>
      </c>
      <c r="G162" t="s">
        <v>69</v>
      </c>
      <c r="H162" t="s">
        <v>230</v>
      </c>
      <c r="I162" t="s">
        <v>39</v>
      </c>
      <c r="J162">
        <v>616.54999999999995</v>
      </c>
      <c r="K162">
        <v>1</v>
      </c>
      <c r="L162">
        <v>195.66</v>
      </c>
      <c r="M162" t="s">
        <v>22</v>
      </c>
      <c r="N162" t="s">
        <v>32</v>
      </c>
    </row>
    <row r="163" spans="1:14">
      <c r="A163" t="s">
        <v>304</v>
      </c>
      <c r="B163" s="1">
        <v>45263</v>
      </c>
      <c r="C163" t="s">
        <v>65</v>
      </c>
      <c r="D163" t="s">
        <v>66</v>
      </c>
      <c r="E163" t="s">
        <v>103</v>
      </c>
      <c r="F163" t="s">
        <v>104</v>
      </c>
      <c r="G163" t="s">
        <v>19</v>
      </c>
      <c r="H163" t="s">
        <v>99</v>
      </c>
      <c r="I163" t="s">
        <v>21</v>
      </c>
      <c r="J163">
        <v>1598</v>
      </c>
      <c r="K163">
        <v>2</v>
      </c>
      <c r="L163">
        <v>500</v>
      </c>
      <c r="M163" t="s">
        <v>22</v>
      </c>
      <c r="N163" t="s">
        <v>32</v>
      </c>
    </row>
    <row r="164" spans="1:14">
      <c r="A164" t="s">
        <v>305</v>
      </c>
      <c r="B164" s="1">
        <v>45000</v>
      </c>
      <c r="C164" t="s">
        <v>101</v>
      </c>
      <c r="D164" t="s">
        <v>102</v>
      </c>
      <c r="E164" t="s">
        <v>56</v>
      </c>
      <c r="F164" t="s">
        <v>57</v>
      </c>
      <c r="G164" t="s">
        <v>50</v>
      </c>
      <c r="H164" t="s">
        <v>230</v>
      </c>
      <c r="I164" t="s">
        <v>39</v>
      </c>
      <c r="J164">
        <v>649</v>
      </c>
      <c r="K164">
        <v>1</v>
      </c>
      <c r="L164">
        <v>220</v>
      </c>
      <c r="M164" t="s">
        <v>22</v>
      </c>
      <c r="N164" t="s">
        <v>32</v>
      </c>
    </row>
    <row r="165" spans="1:14">
      <c r="A165" t="s">
        <v>306</v>
      </c>
      <c r="B165" s="1">
        <v>44990</v>
      </c>
      <c r="C165" t="s">
        <v>227</v>
      </c>
      <c r="D165" t="s">
        <v>228</v>
      </c>
      <c r="E165" t="s">
        <v>84</v>
      </c>
      <c r="F165" t="s">
        <v>85</v>
      </c>
      <c r="G165" t="s">
        <v>69</v>
      </c>
      <c r="H165" t="s">
        <v>230</v>
      </c>
      <c r="I165" t="s">
        <v>39</v>
      </c>
      <c r="J165">
        <v>1168.2</v>
      </c>
      <c r="K165">
        <v>2</v>
      </c>
      <c r="L165">
        <v>342.65</v>
      </c>
      <c r="M165" t="s">
        <v>40</v>
      </c>
      <c r="N165" t="s">
        <v>32</v>
      </c>
    </row>
    <row r="166" spans="1:14">
      <c r="A166" t="s">
        <v>307</v>
      </c>
      <c r="B166" s="1">
        <v>45185</v>
      </c>
      <c r="C166" t="s">
        <v>145</v>
      </c>
      <c r="D166" t="s">
        <v>146</v>
      </c>
      <c r="E166" t="s">
        <v>87</v>
      </c>
      <c r="F166" t="s">
        <v>88</v>
      </c>
      <c r="G166" t="s">
        <v>29</v>
      </c>
      <c r="H166" t="s">
        <v>164</v>
      </c>
      <c r="I166" t="s">
        <v>39</v>
      </c>
      <c r="J166">
        <v>2698.2</v>
      </c>
      <c r="K166">
        <v>2</v>
      </c>
      <c r="L166">
        <v>495.15</v>
      </c>
      <c r="M166" t="s">
        <v>40</v>
      </c>
      <c r="N166" t="s">
        <v>32</v>
      </c>
    </row>
    <row r="167" spans="1:14">
      <c r="A167" t="s">
        <v>308</v>
      </c>
      <c r="B167" s="1">
        <v>45278</v>
      </c>
      <c r="C167" t="s">
        <v>15</v>
      </c>
      <c r="D167" t="s">
        <v>16</v>
      </c>
      <c r="E167" t="s">
        <v>49</v>
      </c>
      <c r="F167" t="s">
        <v>49</v>
      </c>
      <c r="G167" t="s">
        <v>50</v>
      </c>
      <c r="H167" t="s">
        <v>261</v>
      </c>
      <c r="I167" t="s">
        <v>21</v>
      </c>
      <c r="J167">
        <v>83596.2</v>
      </c>
      <c r="K167">
        <v>4</v>
      </c>
      <c r="L167">
        <v>6300.15</v>
      </c>
      <c r="M167" t="s">
        <v>40</v>
      </c>
      <c r="N167" t="s">
        <v>32</v>
      </c>
    </row>
    <row r="168" spans="1:14">
      <c r="A168" t="s">
        <v>309</v>
      </c>
      <c r="B168" s="1">
        <v>45152</v>
      </c>
      <c r="C168" t="s">
        <v>149</v>
      </c>
      <c r="D168" t="s">
        <v>150</v>
      </c>
      <c r="E168" t="s">
        <v>135</v>
      </c>
      <c r="F168" t="s">
        <v>136</v>
      </c>
      <c r="G168" t="s">
        <v>69</v>
      </c>
      <c r="H168" t="s">
        <v>70</v>
      </c>
      <c r="I168" t="s">
        <v>39</v>
      </c>
      <c r="J168">
        <v>1872</v>
      </c>
      <c r="K168">
        <v>3</v>
      </c>
      <c r="L168">
        <v>369</v>
      </c>
      <c r="M168" t="s">
        <v>63</v>
      </c>
      <c r="N168" t="s">
        <v>32</v>
      </c>
    </row>
    <row r="169" spans="1:14">
      <c r="A169" t="s">
        <v>310</v>
      </c>
      <c r="B169" s="1">
        <v>45283</v>
      </c>
      <c r="C169" t="s">
        <v>72</v>
      </c>
      <c r="D169" t="s">
        <v>73</v>
      </c>
      <c r="E169" t="s">
        <v>17</v>
      </c>
      <c r="F169" t="s">
        <v>18</v>
      </c>
      <c r="G169" t="s">
        <v>19</v>
      </c>
      <c r="H169" t="s">
        <v>109</v>
      </c>
      <c r="I169" t="s">
        <v>31</v>
      </c>
      <c r="J169">
        <v>109980</v>
      </c>
      <c r="K169">
        <v>2</v>
      </c>
      <c r="L169">
        <v>11600</v>
      </c>
      <c r="M169" t="s">
        <v>40</v>
      </c>
      <c r="N169" t="s">
        <v>130</v>
      </c>
    </row>
    <row r="170" spans="1:14">
      <c r="A170" t="s">
        <v>311</v>
      </c>
      <c r="B170" s="1">
        <v>45237</v>
      </c>
      <c r="C170" t="s">
        <v>160</v>
      </c>
      <c r="D170" t="s">
        <v>161</v>
      </c>
      <c r="E170" t="s">
        <v>157</v>
      </c>
      <c r="F170" t="s">
        <v>158</v>
      </c>
      <c r="G170" t="s">
        <v>29</v>
      </c>
      <c r="H170" t="s">
        <v>30</v>
      </c>
      <c r="I170" t="s">
        <v>31</v>
      </c>
      <c r="J170">
        <v>2292.3000000000002</v>
      </c>
      <c r="K170">
        <v>3</v>
      </c>
      <c r="L170">
        <v>438.98</v>
      </c>
      <c r="M170" t="s">
        <v>40</v>
      </c>
      <c r="N170" t="s">
        <v>32</v>
      </c>
    </row>
    <row r="171" spans="1:14">
      <c r="A171" t="s">
        <v>312</v>
      </c>
      <c r="B171" s="1">
        <v>44968</v>
      </c>
      <c r="C171" t="s">
        <v>61</v>
      </c>
      <c r="D171" t="s">
        <v>62</v>
      </c>
      <c r="E171" t="s">
        <v>135</v>
      </c>
      <c r="F171" t="s">
        <v>136</v>
      </c>
      <c r="G171" t="s">
        <v>69</v>
      </c>
      <c r="H171" t="s">
        <v>206</v>
      </c>
      <c r="I171" t="s">
        <v>21</v>
      </c>
      <c r="J171">
        <v>55249.15</v>
      </c>
      <c r="K171">
        <v>1</v>
      </c>
      <c r="L171">
        <v>-112.39</v>
      </c>
      <c r="M171" t="s">
        <v>40</v>
      </c>
      <c r="N171" t="s">
        <v>41</v>
      </c>
    </row>
    <row r="172" spans="1:14">
      <c r="A172" t="s">
        <v>313</v>
      </c>
      <c r="B172" s="1">
        <v>45186</v>
      </c>
      <c r="C172" t="s">
        <v>170</v>
      </c>
      <c r="D172" t="s">
        <v>171</v>
      </c>
      <c r="E172" t="s">
        <v>17</v>
      </c>
      <c r="F172" t="s">
        <v>18</v>
      </c>
      <c r="G172" t="s">
        <v>19</v>
      </c>
      <c r="H172" t="s">
        <v>137</v>
      </c>
      <c r="I172" t="s">
        <v>93</v>
      </c>
      <c r="J172">
        <v>5101.5</v>
      </c>
      <c r="K172">
        <v>3</v>
      </c>
      <c r="L172">
        <v>968.62</v>
      </c>
      <c r="M172" t="s">
        <v>63</v>
      </c>
      <c r="N172" t="s">
        <v>32</v>
      </c>
    </row>
    <row r="173" spans="1:14">
      <c r="A173" t="s">
        <v>314</v>
      </c>
      <c r="B173" s="1">
        <v>45027</v>
      </c>
      <c r="C173" t="s">
        <v>122</v>
      </c>
      <c r="D173" t="s">
        <v>123</v>
      </c>
      <c r="E173" t="s">
        <v>103</v>
      </c>
      <c r="F173" t="s">
        <v>104</v>
      </c>
      <c r="G173" t="s">
        <v>19</v>
      </c>
      <c r="H173" t="s">
        <v>20</v>
      </c>
      <c r="I173" t="s">
        <v>21</v>
      </c>
      <c r="J173">
        <v>4316.3999999999996</v>
      </c>
      <c r="K173">
        <v>4</v>
      </c>
      <c r="L173">
        <v>680.3</v>
      </c>
      <c r="M173" t="s">
        <v>63</v>
      </c>
      <c r="N173" t="s">
        <v>32</v>
      </c>
    </row>
    <row r="174" spans="1:14">
      <c r="A174" t="s">
        <v>315</v>
      </c>
      <c r="B174" s="1">
        <v>44979</v>
      </c>
      <c r="C174" t="s">
        <v>149</v>
      </c>
      <c r="D174" t="s">
        <v>150</v>
      </c>
      <c r="E174" t="s">
        <v>67</v>
      </c>
      <c r="F174" t="s">
        <v>68</v>
      </c>
      <c r="G174" t="s">
        <v>69</v>
      </c>
      <c r="H174" t="s">
        <v>126</v>
      </c>
      <c r="I174" t="s">
        <v>21</v>
      </c>
      <c r="J174">
        <v>101997.45</v>
      </c>
      <c r="K174">
        <v>3</v>
      </c>
      <c r="L174">
        <v>900.34</v>
      </c>
      <c r="M174" t="s">
        <v>22</v>
      </c>
      <c r="N174" t="s">
        <v>32</v>
      </c>
    </row>
    <row r="175" spans="1:14">
      <c r="A175" t="s">
        <v>316</v>
      </c>
      <c r="B175" s="1">
        <v>45290</v>
      </c>
      <c r="C175" t="s">
        <v>113</v>
      </c>
      <c r="D175" t="s">
        <v>114</v>
      </c>
      <c r="E175" t="s">
        <v>17</v>
      </c>
      <c r="F175" t="s">
        <v>18</v>
      </c>
      <c r="G175" t="s">
        <v>19</v>
      </c>
      <c r="H175" t="s">
        <v>184</v>
      </c>
      <c r="I175" t="s">
        <v>39</v>
      </c>
      <c r="J175">
        <v>1575</v>
      </c>
      <c r="K175">
        <v>3</v>
      </c>
      <c r="L175">
        <v>525</v>
      </c>
      <c r="M175" t="s">
        <v>22</v>
      </c>
      <c r="N175" t="s">
        <v>32</v>
      </c>
    </row>
    <row r="176" spans="1:14">
      <c r="A176" t="s">
        <v>317</v>
      </c>
      <c r="B176" s="1">
        <v>45182</v>
      </c>
      <c r="C176" t="s">
        <v>160</v>
      </c>
      <c r="D176" t="s">
        <v>161</v>
      </c>
      <c r="E176" t="s">
        <v>103</v>
      </c>
      <c r="F176" t="s">
        <v>104</v>
      </c>
      <c r="G176" t="s">
        <v>19</v>
      </c>
      <c r="H176" t="s">
        <v>38</v>
      </c>
      <c r="I176" t="s">
        <v>39</v>
      </c>
      <c r="J176">
        <v>1996</v>
      </c>
      <c r="K176">
        <v>4</v>
      </c>
      <c r="L176">
        <v>640</v>
      </c>
      <c r="M176" t="s">
        <v>22</v>
      </c>
      <c r="N176" t="s">
        <v>32</v>
      </c>
    </row>
    <row r="177" spans="1:14">
      <c r="A177" t="s">
        <v>318</v>
      </c>
      <c r="B177" s="1">
        <v>44953</v>
      </c>
      <c r="C177" t="s">
        <v>72</v>
      </c>
      <c r="D177" t="s">
        <v>73</v>
      </c>
      <c r="E177" t="s">
        <v>157</v>
      </c>
      <c r="F177" t="s">
        <v>158</v>
      </c>
      <c r="G177" t="s">
        <v>29</v>
      </c>
      <c r="H177" t="s">
        <v>105</v>
      </c>
      <c r="I177" t="s">
        <v>59</v>
      </c>
      <c r="J177">
        <v>47496.2</v>
      </c>
      <c r="K177">
        <v>4</v>
      </c>
      <c r="L177">
        <v>-7674.85</v>
      </c>
      <c r="M177" t="s">
        <v>22</v>
      </c>
      <c r="N177" t="s">
        <v>32</v>
      </c>
    </row>
    <row r="178" spans="1:14">
      <c r="A178" t="s">
        <v>319</v>
      </c>
      <c r="B178" s="1">
        <v>45005</v>
      </c>
      <c r="C178" t="s">
        <v>47</v>
      </c>
      <c r="D178" t="s">
        <v>48</v>
      </c>
      <c r="E178" t="s">
        <v>67</v>
      </c>
      <c r="F178" t="s">
        <v>68</v>
      </c>
      <c r="G178" t="s">
        <v>69</v>
      </c>
      <c r="H178" t="s">
        <v>74</v>
      </c>
      <c r="I178" t="s">
        <v>31</v>
      </c>
      <c r="J178">
        <v>70182</v>
      </c>
      <c r="K178">
        <v>2</v>
      </c>
      <c r="L178">
        <v>2351.5</v>
      </c>
      <c r="M178" t="s">
        <v>40</v>
      </c>
      <c r="N178" t="s">
        <v>32</v>
      </c>
    </row>
    <row r="179" spans="1:14">
      <c r="A179" t="s">
        <v>320</v>
      </c>
      <c r="B179" s="1">
        <v>44976</v>
      </c>
      <c r="C179" t="s">
        <v>34</v>
      </c>
      <c r="D179" t="s">
        <v>35</v>
      </c>
      <c r="E179" t="s">
        <v>49</v>
      </c>
      <c r="F179" t="s">
        <v>49</v>
      </c>
      <c r="G179" t="s">
        <v>50</v>
      </c>
      <c r="H179" t="s">
        <v>30</v>
      </c>
      <c r="I179" t="s">
        <v>31</v>
      </c>
      <c r="J179">
        <v>721.65</v>
      </c>
      <c r="K179">
        <v>1</v>
      </c>
      <c r="L179">
        <v>114.49</v>
      </c>
      <c r="M179" t="s">
        <v>40</v>
      </c>
      <c r="N179" t="s">
        <v>32</v>
      </c>
    </row>
    <row r="180" spans="1:14">
      <c r="A180" t="s">
        <v>321</v>
      </c>
      <c r="B180" s="1">
        <v>45038</v>
      </c>
      <c r="C180" t="s">
        <v>25</v>
      </c>
      <c r="D180" t="s">
        <v>26</v>
      </c>
      <c r="E180" t="s">
        <v>141</v>
      </c>
      <c r="F180" t="s">
        <v>142</v>
      </c>
      <c r="G180" t="s">
        <v>50</v>
      </c>
      <c r="H180" t="s">
        <v>99</v>
      </c>
      <c r="I180" t="s">
        <v>21</v>
      </c>
      <c r="J180">
        <v>679.15</v>
      </c>
      <c r="K180">
        <v>1</v>
      </c>
      <c r="L180">
        <v>160.11000000000001</v>
      </c>
      <c r="M180" t="s">
        <v>90</v>
      </c>
      <c r="N180" t="s">
        <v>32</v>
      </c>
    </row>
    <row r="181" spans="1:14">
      <c r="A181" t="s">
        <v>322</v>
      </c>
      <c r="B181" s="1">
        <v>45200</v>
      </c>
      <c r="C181" t="s">
        <v>275</v>
      </c>
      <c r="D181" t="s">
        <v>276</v>
      </c>
      <c r="E181" t="s">
        <v>103</v>
      </c>
      <c r="F181" t="s">
        <v>104</v>
      </c>
      <c r="G181" t="s">
        <v>19</v>
      </c>
      <c r="H181" t="s">
        <v>164</v>
      </c>
      <c r="I181" t="s">
        <v>39</v>
      </c>
      <c r="J181">
        <v>2998</v>
      </c>
      <c r="K181">
        <v>2</v>
      </c>
      <c r="L181">
        <v>720</v>
      </c>
      <c r="M181" t="s">
        <v>40</v>
      </c>
      <c r="N181" t="s">
        <v>130</v>
      </c>
    </row>
    <row r="182" spans="1:14">
      <c r="A182" t="s">
        <v>323</v>
      </c>
      <c r="B182" s="1">
        <v>45168</v>
      </c>
      <c r="C182" t="s">
        <v>101</v>
      </c>
      <c r="D182" t="s">
        <v>102</v>
      </c>
      <c r="E182" t="s">
        <v>67</v>
      </c>
      <c r="F182" t="s">
        <v>68</v>
      </c>
      <c r="G182" t="s">
        <v>69</v>
      </c>
      <c r="H182" t="s">
        <v>126</v>
      </c>
      <c r="I182" t="s">
        <v>21</v>
      </c>
      <c r="J182">
        <v>119997</v>
      </c>
      <c r="K182">
        <v>3</v>
      </c>
      <c r="L182">
        <v>14400</v>
      </c>
      <c r="M182" t="s">
        <v>22</v>
      </c>
      <c r="N182" t="s">
        <v>130</v>
      </c>
    </row>
    <row r="183" spans="1:14">
      <c r="A183" t="s">
        <v>324</v>
      </c>
      <c r="B183" s="1">
        <v>45068</v>
      </c>
      <c r="C183" t="s">
        <v>160</v>
      </c>
      <c r="D183" t="s">
        <v>161</v>
      </c>
      <c r="E183" t="s">
        <v>27</v>
      </c>
      <c r="F183" t="s">
        <v>28</v>
      </c>
      <c r="G183" t="s">
        <v>29</v>
      </c>
      <c r="H183" t="s">
        <v>111</v>
      </c>
      <c r="I183" t="s">
        <v>59</v>
      </c>
      <c r="J183">
        <v>3596</v>
      </c>
      <c r="K183">
        <v>4</v>
      </c>
      <c r="L183">
        <v>-480</v>
      </c>
      <c r="M183" t="s">
        <v>90</v>
      </c>
      <c r="N183" t="s">
        <v>32</v>
      </c>
    </row>
    <row r="184" spans="1:14">
      <c r="A184" t="s">
        <v>325</v>
      </c>
      <c r="B184" s="1">
        <v>45250</v>
      </c>
      <c r="C184" t="s">
        <v>132</v>
      </c>
      <c r="D184" t="s">
        <v>133</v>
      </c>
      <c r="E184" t="s">
        <v>141</v>
      </c>
      <c r="F184" t="s">
        <v>142</v>
      </c>
      <c r="G184" t="s">
        <v>50</v>
      </c>
      <c r="H184" t="s">
        <v>45</v>
      </c>
      <c r="I184" t="s">
        <v>21</v>
      </c>
      <c r="J184">
        <v>2598</v>
      </c>
      <c r="K184">
        <v>2</v>
      </c>
      <c r="L184">
        <v>-389.7</v>
      </c>
      <c r="M184" t="s">
        <v>40</v>
      </c>
      <c r="N184" t="s">
        <v>75</v>
      </c>
    </row>
    <row r="185" spans="1:14">
      <c r="A185" t="s">
        <v>326</v>
      </c>
      <c r="B185" s="1">
        <v>45231</v>
      </c>
      <c r="C185" t="s">
        <v>72</v>
      </c>
      <c r="D185" t="s">
        <v>73</v>
      </c>
      <c r="E185" t="s">
        <v>56</v>
      </c>
      <c r="F185" t="s">
        <v>57</v>
      </c>
      <c r="G185" t="s">
        <v>50</v>
      </c>
      <c r="H185" t="s">
        <v>105</v>
      </c>
      <c r="I185" t="s">
        <v>59</v>
      </c>
      <c r="J185">
        <v>47496.2</v>
      </c>
      <c r="K185">
        <v>4</v>
      </c>
      <c r="L185">
        <v>-7124.43</v>
      </c>
      <c r="M185" t="s">
        <v>22</v>
      </c>
      <c r="N185" t="s">
        <v>75</v>
      </c>
    </row>
    <row r="186" spans="1:14">
      <c r="A186" t="s">
        <v>327</v>
      </c>
      <c r="B186" s="1">
        <v>45010</v>
      </c>
      <c r="C186" t="s">
        <v>54</v>
      </c>
      <c r="D186" t="s">
        <v>55</v>
      </c>
      <c r="E186" t="s">
        <v>49</v>
      </c>
      <c r="F186" t="s">
        <v>49</v>
      </c>
      <c r="G186" t="s">
        <v>50</v>
      </c>
      <c r="H186" t="s">
        <v>206</v>
      </c>
      <c r="I186" t="s">
        <v>21</v>
      </c>
      <c r="J186">
        <v>129998</v>
      </c>
      <c r="K186">
        <v>2</v>
      </c>
      <c r="L186">
        <v>14400</v>
      </c>
      <c r="M186" t="s">
        <v>40</v>
      </c>
      <c r="N186" t="s">
        <v>32</v>
      </c>
    </row>
    <row r="187" spans="1:14">
      <c r="A187" t="s">
        <v>328</v>
      </c>
      <c r="B187" s="1">
        <v>45260</v>
      </c>
      <c r="C187" t="s">
        <v>65</v>
      </c>
      <c r="D187" t="s">
        <v>66</v>
      </c>
      <c r="E187" t="s">
        <v>135</v>
      </c>
      <c r="F187" t="s">
        <v>136</v>
      </c>
      <c r="G187" t="s">
        <v>69</v>
      </c>
      <c r="H187" t="s">
        <v>58</v>
      </c>
      <c r="I187" t="s">
        <v>59</v>
      </c>
      <c r="J187">
        <v>2409.75</v>
      </c>
      <c r="K187">
        <v>3</v>
      </c>
      <c r="L187">
        <v>0</v>
      </c>
      <c r="M187" t="s">
        <v>63</v>
      </c>
      <c r="N187" t="s">
        <v>23</v>
      </c>
    </row>
    <row r="188" spans="1:14">
      <c r="A188" t="s">
        <v>329</v>
      </c>
      <c r="B188" s="1">
        <v>44952</v>
      </c>
      <c r="C188" t="s">
        <v>113</v>
      </c>
      <c r="D188" t="s">
        <v>114</v>
      </c>
      <c r="E188" t="s">
        <v>103</v>
      </c>
      <c r="F188" t="s">
        <v>104</v>
      </c>
      <c r="G188" t="s">
        <v>19</v>
      </c>
      <c r="H188" t="s">
        <v>74</v>
      </c>
      <c r="I188" t="s">
        <v>31</v>
      </c>
      <c r="J188">
        <v>116970</v>
      </c>
      <c r="K188">
        <v>3</v>
      </c>
      <c r="L188">
        <v>12300</v>
      </c>
      <c r="M188" t="s">
        <v>52</v>
      </c>
      <c r="N188" t="s">
        <v>32</v>
      </c>
    </row>
    <row r="189" spans="1:14">
      <c r="A189" t="s">
        <v>330</v>
      </c>
      <c r="B189" s="1">
        <v>44990</v>
      </c>
      <c r="C189" t="s">
        <v>54</v>
      </c>
      <c r="D189" t="s">
        <v>55</v>
      </c>
      <c r="E189" t="s">
        <v>87</v>
      </c>
      <c r="F189" t="s">
        <v>88</v>
      </c>
      <c r="G189" t="s">
        <v>29</v>
      </c>
      <c r="H189" t="s">
        <v>126</v>
      </c>
      <c r="I189" t="s">
        <v>21</v>
      </c>
      <c r="J189">
        <v>127996.8</v>
      </c>
      <c r="K189">
        <v>4</v>
      </c>
      <c r="L189">
        <v>-4799.3999999999996</v>
      </c>
      <c r="M189" t="s">
        <v>22</v>
      </c>
      <c r="N189" t="s">
        <v>32</v>
      </c>
    </row>
    <row r="190" spans="1:14">
      <c r="A190" t="s">
        <v>331</v>
      </c>
      <c r="B190" s="1">
        <v>45069</v>
      </c>
      <c r="C190" t="s">
        <v>61</v>
      </c>
      <c r="D190" t="s">
        <v>62</v>
      </c>
      <c r="E190" t="s">
        <v>27</v>
      </c>
      <c r="F190" t="s">
        <v>28</v>
      </c>
      <c r="G190" t="s">
        <v>29</v>
      </c>
      <c r="H190" t="s">
        <v>147</v>
      </c>
      <c r="I190" t="s">
        <v>93</v>
      </c>
      <c r="J190">
        <v>3798.1</v>
      </c>
      <c r="K190">
        <v>2</v>
      </c>
      <c r="L190">
        <v>890.08</v>
      </c>
      <c r="M190" t="s">
        <v>63</v>
      </c>
      <c r="N190" t="s">
        <v>130</v>
      </c>
    </row>
    <row r="191" spans="1:14">
      <c r="A191" t="s">
        <v>332</v>
      </c>
      <c r="B191" s="1">
        <v>44936</v>
      </c>
      <c r="C191" t="s">
        <v>122</v>
      </c>
      <c r="D191" t="s">
        <v>123</v>
      </c>
      <c r="E191" t="s">
        <v>36</v>
      </c>
      <c r="F191" t="s">
        <v>37</v>
      </c>
      <c r="G191" t="s">
        <v>19</v>
      </c>
      <c r="H191" t="s">
        <v>137</v>
      </c>
      <c r="I191" t="s">
        <v>93</v>
      </c>
      <c r="J191">
        <v>5728</v>
      </c>
      <c r="K191">
        <v>4</v>
      </c>
      <c r="L191">
        <v>486</v>
      </c>
      <c r="M191" t="s">
        <v>22</v>
      </c>
      <c r="N191" t="s">
        <v>32</v>
      </c>
    </row>
    <row r="192" spans="1:14">
      <c r="A192" t="s">
        <v>333</v>
      </c>
      <c r="B192" s="1">
        <v>45136</v>
      </c>
      <c r="C192" t="s">
        <v>132</v>
      </c>
      <c r="D192" t="s">
        <v>133</v>
      </c>
      <c r="E192" t="s">
        <v>67</v>
      </c>
      <c r="F192" t="s">
        <v>68</v>
      </c>
      <c r="G192" t="s">
        <v>69</v>
      </c>
      <c r="H192" t="s">
        <v>58</v>
      </c>
      <c r="I192" t="s">
        <v>59</v>
      </c>
      <c r="J192">
        <v>2551.5</v>
      </c>
      <c r="K192">
        <v>3</v>
      </c>
      <c r="L192">
        <v>417.38</v>
      </c>
      <c r="M192" t="s">
        <v>90</v>
      </c>
      <c r="N192" t="s">
        <v>32</v>
      </c>
    </row>
    <row r="193" spans="1:14">
      <c r="A193" t="s">
        <v>334</v>
      </c>
      <c r="B193" s="1">
        <v>44954</v>
      </c>
      <c r="C193" t="s">
        <v>170</v>
      </c>
      <c r="D193" t="s">
        <v>171</v>
      </c>
      <c r="E193" t="s">
        <v>49</v>
      </c>
      <c r="F193" t="s">
        <v>49</v>
      </c>
      <c r="G193" t="s">
        <v>50</v>
      </c>
      <c r="H193" t="s">
        <v>79</v>
      </c>
      <c r="I193" t="s">
        <v>31</v>
      </c>
      <c r="J193">
        <v>119671.5</v>
      </c>
      <c r="K193">
        <v>3</v>
      </c>
      <c r="L193">
        <v>-17950.72</v>
      </c>
      <c r="M193" t="s">
        <v>52</v>
      </c>
      <c r="N193" t="s">
        <v>75</v>
      </c>
    </row>
    <row r="194" spans="1:14">
      <c r="A194" t="s">
        <v>335</v>
      </c>
      <c r="B194" s="1">
        <v>45097</v>
      </c>
      <c r="C194" t="s">
        <v>65</v>
      </c>
      <c r="D194" t="s">
        <v>66</v>
      </c>
      <c r="E194" t="s">
        <v>157</v>
      </c>
      <c r="F194" t="s">
        <v>158</v>
      </c>
      <c r="G194" t="s">
        <v>29</v>
      </c>
      <c r="H194" t="s">
        <v>38</v>
      </c>
      <c r="I194" t="s">
        <v>39</v>
      </c>
      <c r="J194">
        <v>1996</v>
      </c>
      <c r="K194">
        <v>4</v>
      </c>
      <c r="L194">
        <v>640</v>
      </c>
      <c r="M194" t="s">
        <v>90</v>
      </c>
      <c r="N194" t="s">
        <v>130</v>
      </c>
    </row>
    <row r="195" spans="1:14">
      <c r="A195" t="s">
        <v>336</v>
      </c>
      <c r="B195" s="1">
        <v>45278</v>
      </c>
      <c r="C195" t="s">
        <v>101</v>
      </c>
      <c r="D195" t="s">
        <v>102</v>
      </c>
      <c r="E195" t="s">
        <v>103</v>
      </c>
      <c r="F195" t="s">
        <v>104</v>
      </c>
      <c r="G195" t="s">
        <v>19</v>
      </c>
      <c r="H195" t="s">
        <v>128</v>
      </c>
      <c r="I195" t="s">
        <v>31</v>
      </c>
      <c r="J195">
        <v>1495</v>
      </c>
      <c r="K195">
        <v>1</v>
      </c>
      <c r="L195">
        <v>350</v>
      </c>
      <c r="M195" t="s">
        <v>40</v>
      </c>
      <c r="N195" t="s">
        <v>32</v>
      </c>
    </row>
    <row r="196" spans="1:14">
      <c r="A196" t="s">
        <v>337</v>
      </c>
      <c r="B196" s="1">
        <v>44990</v>
      </c>
      <c r="C196" t="s">
        <v>160</v>
      </c>
      <c r="D196" t="s">
        <v>161</v>
      </c>
      <c r="E196" t="s">
        <v>95</v>
      </c>
      <c r="F196" t="s">
        <v>96</v>
      </c>
      <c r="G196" t="s">
        <v>19</v>
      </c>
      <c r="H196" t="s">
        <v>173</v>
      </c>
      <c r="I196" t="s">
        <v>59</v>
      </c>
      <c r="J196">
        <v>8598</v>
      </c>
      <c r="K196">
        <v>2</v>
      </c>
      <c r="L196">
        <v>1440</v>
      </c>
      <c r="M196" t="s">
        <v>22</v>
      </c>
      <c r="N196" t="s">
        <v>130</v>
      </c>
    </row>
    <row r="197" spans="1:14">
      <c r="A197" t="s">
        <v>338</v>
      </c>
      <c r="B197" s="1">
        <v>45039</v>
      </c>
      <c r="C197" t="s">
        <v>101</v>
      </c>
      <c r="D197" t="s">
        <v>102</v>
      </c>
      <c r="E197" t="s">
        <v>157</v>
      </c>
      <c r="F197" t="s">
        <v>158</v>
      </c>
      <c r="G197" t="s">
        <v>29</v>
      </c>
      <c r="H197" t="s">
        <v>206</v>
      </c>
      <c r="I197" t="s">
        <v>21</v>
      </c>
      <c r="J197">
        <v>185247.15</v>
      </c>
      <c r="K197">
        <v>3</v>
      </c>
      <c r="L197">
        <v>14287.61</v>
      </c>
      <c r="M197" t="s">
        <v>63</v>
      </c>
      <c r="N197" t="s">
        <v>32</v>
      </c>
    </row>
    <row r="198" spans="1:14">
      <c r="A198" t="s">
        <v>339</v>
      </c>
      <c r="B198" s="1">
        <v>45213</v>
      </c>
      <c r="C198" t="s">
        <v>72</v>
      </c>
      <c r="D198" t="s">
        <v>73</v>
      </c>
      <c r="E198" t="s">
        <v>141</v>
      </c>
      <c r="F198" t="s">
        <v>142</v>
      </c>
      <c r="G198" t="s">
        <v>50</v>
      </c>
      <c r="H198" t="s">
        <v>173</v>
      </c>
      <c r="I198" t="s">
        <v>59</v>
      </c>
      <c r="J198">
        <v>6878.4</v>
      </c>
      <c r="K198">
        <v>2</v>
      </c>
      <c r="L198">
        <v>150.30000000000001</v>
      </c>
      <c r="M198" t="s">
        <v>22</v>
      </c>
      <c r="N198" t="s">
        <v>32</v>
      </c>
    </row>
    <row r="199" spans="1:14">
      <c r="A199" t="s">
        <v>340</v>
      </c>
      <c r="B199" s="1">
        <v>45287</v>
      </c>
      <c r="C199" t="s">
        <v>54</v>
      </c>
      <c r="D199" t="s">
        <v>55</v>
      </c>
      <c r="E199" t="s">
        <v>157</v>
      </c>
      <c r="F199" t="s">
        <v>158</v>
      </c>
      <c r="G199" t="s">
        <v>29</v>
      </c>
      <c r="H199" t="s">
        <v>128</v>
      </c>
      <c r="I199" t="s">
        <v>31</v>
      </c>
      <c r="J199">
        <v>5980</v>
      </c>
      <c r="K199">
        <v>4</v>
      </c>
      <c r="L199">
        <v>1400</v>
      </c>
      <c r="M199" t="s">
        <v>63</v>
      </c>
      <c r="N199" t="s">
        <v>32</v>
      </c>
    </row>
    <row r="200" spans="1:14">
      <c r="A200" t="s">
        <v>341</v>
      </c>
      <c r="B200" s="1">
        <v>45187</v>
      </c>
      <c r="C200" t="s">
        <v>61</v>
      </c>
      <c r="D200" t="s">
        <v>62</v>
      </c>
      <c r="E200" t="s">
        <v>27</v>
      </c>
      <c r="F200" t="s">
        <v>28</v>
      </c>
      <c r="G200" t="s">
        <v>29</v>
      </c>
      <c r="H200" t="s">
        <v>20</v>
      </c>
      <c r="I200" t="s">
        <v>21</v>
      </c>
      <c r="J200">
        <v>3237.3</v>
      </c>
      <c r="K200">
        <v>3</v>
      </c>
      <c r="L200">
        <v>510.22</v>
      </c>
      <c r="M200" t="s">
        <v>22</v>
      </c>
      <c r="N200" t="s">
        <v>32</v>
      </c>
    </row>
    <row r="201" spans="1:14">
      <c r="A201" t="s">
        <v>342</v>
      </c>
      <c r="B201" s="1">
        <v>45196</v>
      </c>
      <c r="C201" t="s">
        <v>54</v>
      </c>
      <c r="D201" t="s">
        <v>55</v>
      </c>
      <c r="E201" t="s">
        <v>98</v>
      </c>
      <c r="F201" t="s">
        <v>68</v>
      </c>
      <c r="G201" t="s">
        <v>69</v>
      </c>
      <c r="H201" t="s">
        <v>143</v>
      </c>
      <c r="I201" t="s">
        <v>59</v>
      </c>
      <c r="J201">
        <v>12156.2</v>
      </c>
      <c r="K201">
        <v>4</v>
      </c>
      <c r="L201">
        <v>1720.15</v>
      </c>
      <c r="M201" t="s">
        <v>22</v>
      </c>
      <c r="N201" t="s">
        <v>32</v>
      </c>
    </row>
    <row r="202" spans="1:14">
      <c r="A202" t="s">
        <v>343</v>
      </c>
      <c r="B202" s="1">
        <v>45084</v>
      </c>
      <c r="C202" t="s">
        <v>54</v>
      </c>
      <c r="D202" t="s">
        <v>55</v>
      </c>
      <c r="E202" t="s">
        <v>98</v>
      </c>
      <c r="F202" t="s">
        <v>68</v>
      </c>
      <c r="G202" t="s">
        <v>69</v>
      </c>
      <c r="H202" t="s">
        <v>109</v>
      </c>
      <c r="I202" t="s">
        <v>31</v>
      </c>
      <c r="J202">
        <v>52240.5</v>
      </c>
      <c r="K202">
        <v>1</v>
      </c>
      <c r="L202">
        <v>-7836.07</v>
      </c>
      <c r="M202" t="s">
        <v>63</v>
      </c>
      <c r="N202" t="s">
        <v>75</v>
      </c>
    </row>
    <row r="203" spans="1:14">
      <c r="A203" t="s">
        <v>344</v>
      </c>
      <c r="B203" s="1">
        <v>45183</v>
      </c>
      <c r="C203" t="s">
        <v>170</v>
      </c>
      <c r="D203" t="s">
        <v>171</v>
      </c>
      <c r="E203" t="s">
        <v>124</v>
      </c>
      <c r="F203" t="s">
        <v>125</v>
      </c>
      <c r="G203" t="s">
        <v>50</v>
      </c>
      <c r="H203" t="s">
        <v>184</v>
      </c>
      <c r="I203" t="s">
        <v>39</v>
      </c>
      <c r="J203">
        <v>1785</v>
      </c>
      <c r="K203">
        <v>4</v>
      </c>
      <c r="L203">
        <v>463.75</v>
      </c>
      <c r="M203" t="s">
        <v>90</v>
      </c>
      <c r="N203" t="s">
        <v>32</v>
      </c>
    </row>
    <row r="204" spans="1:14">
      <c r="A204" t="s">
        <v>345</v>
      </c>
      <c r="B204" s="1">
        <v>44962</v>
      </c>
      <c r="C204" t="s">
        <v>202</v>
      </c>
      <c r="D204" t="s">
        <v>203</v>
      </c>
      <c r="E204" t="s">
        <v>36</v>
      </c>
      <c r="F204" t="s">
        <v>37</v>
      </c>
      <c r="G204" t="s">
        <v>19</v>
      </c>
      <c r="H204" t="s">
        <v>20</v>
      </c>
      <c r="I204" t="s">
        <v>21</v>
      </c>
      <c r="J204">
        <v>3057.45</v>
      </c>
      <c r="K204">
        <v>3</v>
      </c>
      <c r="L204">
        <v>0</v>
      </c>
      <c r="M204" t="s">
        <v>40</v>
      </c>
      <c r="N204" t="s">
        <v>23</v>
      </c>
    </row>
    <row r="205" spans="1:14">
      <c r="A205" t="s">
        <v>346</v>
      </c>
      <c r="B205" s="1">
        <v>45269</v>
      </c>
      <c r="C205" t="s">
        <v>170</v>
      </c>
      <c r="D205" t="s">
        <v>171</v>
      </c>
      <c r="E205" t="s">
        <v>84</v>
      </c>
      <c r="F205" t="s">
        <v>85</v>
      </c>
      <c r="G205" t="s">
        <v>69</v>
      </c>
      <c r="H205" t="s">
        <v>126</v>
      </c>
      <c r="I205" t="s">
        <v>21</v>
      </c>
      <c r="J205">
        <v>159996</v>
      </c>
      <c r="K205">
        <v>4</v>
      </c>
      <c r="L205">
        <v>19200</v>
      </c>
      <c r="M205" t="s">
        <v>63</v>
      </c>
      <c r="N205" t="s">
        <v>32</v>
      </c>
    </row>
    <row r="206" spans="1:14">
      <c r="A206" t="s">
        <v>347</v>
      </c>
      <c r="B206" s="1">
        <v>44954</v>
      </c>
      <c r="C206" t="s">
        <v>77</v>
      </c>
      <c r="D206" t="s">
        <v>78</v>
      </c>
      <c r="E206" t="s">
        <v>56</v>
      </c>
      <c r="F206" t="s">
        <v>57</v>
      </c>
      <c r="G206" t="s">
        <v>50</v>
      </c>
      <c r="H206" t="s">
        <v>109</v>
      </c>
      <c r="I206" t="s">
        <v>31</v>
      </c>
      <c r="J206">
        <v>98982</v>
      </c>
      <c r="K206">
        <v>2</v>
      </c>
      <c r="L206">
        <v>3351.5</v>
      </c>
      <c r="M206" t="s">
        <v>22</v>
      </c>
      <c r="N206" t="s">
        <v>32</v>
      </c>
    </row>
    <row r="207" spans="1:14">
      <c r="A207" t="s">
        <v>348</v>
      </c>
      <c r="B207" s="1">
        <v>45187</v>
      </c>
      <c r="C207" t="s">
        <v>65</v>
      </c>
      <c r="D207" t="s">
        <v>66</v>
      </c>
      <c r="E207" t="s">
        <v>56</v>
      </c>
      <c r="F207" t="s">
        <v>57</v>
      </c>
      <c r="G207" t="s">
        <v>50</v>
      </c>
      <c r="H207" t="s">
        <v>126</v>
      </c>
      <c r="I207" t="s">
        <v>21</v>
      </c>
      <c r="J207">
        <v>37999.050000000003</v>
      </c>
      <c r="K207">
        <v>1</v>
      </c>
      <c r="L207">
        <v>3300.04</v>
      </c>
      <c r="M207" t="s">
        <v>40</v>
      </c>
      <c r="N207" t="s">
        <v>32</v>
      </c>
    </row>
    <row r="208" spans="1:14">
      <c r="A208" t="s">
        <v>349</v>
      </c>
      <c r="B208" s="1">
        <v>45086</v>
      </c>
      <c r="C208" t="s">
        <v>202</v>
      </c>
      <c r="D208" t="s">
        <v>203</v>
      </c>
      <c r="E208" t="s">
        <v>103</v>
      </c>
      <c r="F208" t="s">
        <v>104</v>
      </c>
      <c r="G208" t="s">
        <v>19</v>
      </c>
      <c r="H208" t="s">
        <v>137</v>
      </c>
      <c r="I208" t="s">
        <v>93</v>
      </c>
      <c r="J208">
        <v>1700.5</v>
      </c>
      <c r="K208">
        <v>1</v>
      </c>
      <c r="L208">
        <v>322.88</v>
      </c>
      <c r="M208" t="s">
        <v>22</v>
      </c>
      <c r="N208" t="s">
        <v>32</v>
      </c>
    </row>
    <row r="209" spans="1:14">
      <c r="A209" t="s">
        <v>350</v>
      </c>
      <c r="B209" s="1">
        <v>45288</v>
      </c>
      <c r="C209" t="s">
        <v>145</v>
      </c>
      <c r="D209" t="s">
        <v>146</v>
      </c>
      <c r="E209" t="s">
        <v>141</v>
      </c>
      <c r="F209" t="s">
        <v>142</v>
      </c>
      <c r="G209" t="s">
        <v>50</v>
      </c>
      <c r="H209" t="s">
        <v>58</v>
      </c>
      <c r="I209" t="s">
        <v>59</v>
      </c>
      <c r="J209">
        <v>2551.5</v>
      </c>
      <c r="K209">
        <v>3</v>
      </c>
      <c r="L209">
        <v>417.38</v>
      </c>
      <c r="M209" t="s">
        <v>22</v>
      </c>
      <c r="N209" t="s">
        <v>32</v>
      </c>
    </row>
    <row r="210" spans="1:14">
      <c r="A210" t="s">
        <v>351</v>
      </c>
      <c r="B210" s="1">
        <v>44974</v>
      </c>
      <c r="C210" t="s">
        <v>72</v>
      </c>
      <c r="D210" t="s">
        <v>73</v>
      </c>
      <c r="E210" t="s">
        <v>103</v>
      </c>
      <c r="F210" t="s">
        <v>104</v>
      </c>
      <c r="G210" t="s">
        <v>19</v>
      </c>
      <c r="H210" t="s">
        <v>206</v>
      </c>
      <c r="I210" t="s">
        <v>21</v>
      </c>
      <c r="J210">
        <v>129998</v>
      </c>
      <c r="K210">
        <v>2</v>
      </c>
      <c r="L210">
        <v>14400</v>
      </c>
      <c r="M210" t="s">
        <v>40</v>
      </c>
      <c r="N210" t="s">
        <v>41</v>
      </c>
    </row>
    <row r="211" spans="1:14">
      <c r="A211" t="s">
        <v>352</v>
      </c>
      <c r="B211" s="1">
        <v>45025</v>
      </c>
      <c r="C211" t="s">
        <v>170</v>
      </c>
      <c r="D211" t="s">
        <v>171</v>
      </c>
      <c r="E211" t="s">
        <v>49</v>
      </c>
      <c r="F211" t="s">
        <v>49</v>
      </c>
      <c r="G211" t="s">
        <v>50</v>
      </c>
      <c r="H211" t="s">
        <v>230</v>
      </c>
      <c r="I211" t="s">
        <v>39</v>
      </c>
      <c r="J211">
        <v>2596</v>
      </c>
      <c r="K211">
        <v>4</v>
      </c>
      <c r="L211">
        <v>880</v>
      </c>
      <c r="M211" t="s">
        <v>52</v>
      </c>
      <c r="N211" t="s">
        <v>32</v>
      </c>
    </row>
    <row r="212" spans="1:14">
      <c r="A212" t="s">
        <v>353</v>
      </c>
      <c r="B212" s="1">
        <v>45170</v>
      </c>
      <c r="C212" t="s">
        <v>122</v>
      </c>
      <c r="D212" t="s">
        <v>123</v>
      </c>
      <c r="E212" t="s">
        <v>124</v>
      </c>
      <c r="F212" t="s">
        <v>125</v>
      </c>
      <c r="G212" t="s">
        <v>50</v>
      </c>
      <c r="H212" t="s">
        <v>173</v>
      </c>
      <c r="I212" t="s">
        <v>59</v>
      </c>
      <c r="J212">
        <v>13756.8</v>
      </c>
      <c r="K212">
        <v>4</v>
      </c>
      <c r="L212">
        <v>300.60000000000002</v>
      </c>
      <c r="M212" t="s">
        <v>90</v>
      </c>
      <c r="N212" t="s">
        <v>32</v>
      </c>
    </row>
    <row r="213" spans="1:14">
      <c r="A213" t="s">
        <v>354</v>
      </c>
      <c r="B213" s="1">
        <v>45176</v>
      </c>
      <c r="C213" t="s">
        <v>77</v>
      </c>
      <c r="D213" t="s">
        <v>78</v>
      </c>
      <c r="E213" t="s">
        <v>157</v>
      </c>
      <c r="F213" t="s">
        <v>158</v>
      </c>
      <c r="G213" t="s">
        <v>29</v>
      </c>
      <c r="H213" t="s">
        <v>99</v>
      </c>
      <c r="I213" t="s">
        <v>21</v>
      </c>
      <c r="J213">
        <v>759.05</v>
      </c>
      <c r="K213">
        <v>1</v>
      </c>
      <c r="L213">
        <v>220.04</v>
      </c>
      <c r="M213" t="s">
        <v>40</v>
      </c>
      <c r="N213" t="s">
        <v>32</v>
      </c>
    </row>
    <row r="214" spans="1:14">
      <c r="A214" t="s">
        <v>355</v>
      </c>
      <c r="B214" s="1">
        <v>45276</v>
      </c>
      <c r="C214" t="s">
        <v>15</v>
      </c>
      <c r="D214" t="s">
        <v>16</v>
      </c>
      <c r="E214" t="s">
        <v>49</v>
      </c>
      <c r="F214" t="s">
        <v>49</v>
      </c>
      <c r="G214" t="s">
        <v>50</v>
      </c>
      <c r="H214" t="s">
        <v>38</v>
      </c>
      <c r="I214" t="s">
        <v>39</v>
      </c>
      <c r="J214">
        <v>1596.8</v>
      </c>
      <c r="K214">
        <v>4</v>
      </c>
      <c r="L214">
        <v>-239.52</v>
      </c>
      <c r="M214" t="s">
        <v>22</v>
      </c>
      <c r="N214" t="s">
        <v>75</v>
      </c>
    </row>
    <row r="215" spans="1:14">
      <c r="A215" t="s">
        <v>356</v>
      </c>
      <c r="B215" s="1">
        <v>45062</v>
      </c>
      <c r="C215" t="s">
        <v>202</v>
      </c>
      <c r="D215" t="s">
        <v>203</v>
      </c>
      <c r="E215" t="s">
        <v>135</v>
      </c>
      <c r="F215" t="s">
        <v>136</v>
      </c>
      <c r="G215" t="s">
        <v>69</v>
      </c>
      <c r="H215" t="s">
        <v>206</v>
      </c>
      <c r="I215" t="s">
        <v>21</v>
      </c>
      <c r="J215">
        <v>129998</v>
      </c>
      <c r="K215">
        <v>2</v>
      </c>
      <c r="L215">
        <v>14400</v>
      </c>
      <c r="M215" t="s">
        <v>90</v>
      </c>
      <c r="N215" t="s">
        <v>32</v>
      </c>
    </row>
    <row r="216" spans="1:14">
      <c r="A216" t="s">
        <v>357</v>
      </c>
      <c r="B216" s="1">
        <v>45260</v>
      </c>
      <c r="C216" t="s">
        <v>43</v>
      </c>
      <c r="D216" t="s">
        <v>44</v>
      </c>
      <c r="E216" t="s">
        <v>87</v>
      </c>
      <c r="F216" t="s">
        <v>88</v>
      </c>
      <c r="G216" t="s">
        <v>29</v>
      </c>
      <c r="H216" t="s">
        <v>184</v>
      </c>
      <c r="I216" t="s">
        <v>39</v>
      </c>
      <c r="J216">
        <v>1338.75</v>
      </c>
      <c r="K216">
        <v>3</v>
      </c>
      <c r="L216">
        <v>347.81</v>
      </c>
      <c r="M216" t="s">
        <v>63</v>
      </c>
      <c r="N216" t="s">
        <v>32</v>
      </c>
    </row>
    <row r="217" spans="1:14">
      <c r="A217" t="s">
        <v>358</v>
      </c>
      <c r="B217" s="1">
        <v>45195</v>
      </c>
      <c r="C217" t="s">
        <v>65</v>
      </c>
      <c r="D217" t="s">
        <v>66</v>
      </c>
      <c r="E217" t="s">
        <v>67</v>
      </c>
      <c r="F217" t="s">
        <v>68</v>
      </c>
      <c r="G217" t="s">
        <v>69</v>
      </c>
      <c r="H217" t="s">
        <v>109</v>
      </c>
      <c r="I217" t="s">
        <v>31</v>
      </c>
      <c r="J217">
        <v>104481</v>
      </c>
      <c r="K217">
        <v>2</v>
      </c>
      <c r="L217">
        <v>7475.75</v>
      </c>
      <c r="M217" t="s">
        <v>63</v>
      </c>
      <c r="N217" t="s">
        <v>32</v>
      </c>
    </row>
    <row r="218" spans="1:14">
      <c r="A218" t="s">
        <v>359</v>
      </c>
      <c r="B218" s="1">
        <v>45226</v>
      </c>
      <c r="C218" t="s">
        <v>47</v>
      </c>
      <c r="D218" t="s">
        <v>48</v>
      </c>
      <c r="E218" t="s">
        <v>56</v>
      </c>
      <c r="F218" t="s">
        <v>57</v>
      </c>
      <c r="G218" t="s">
        <v>50</v>
      </c>
      <c r="H218" t="s">
        <v>30</v>
      </c>
      <c r="I218" t="s">
        <v>31</v>
      </c>
      <c r="J218">
        <v>1443.3</v>
      </c>
      <c r="K218">
        <v>2</v>
      </c>
      <c r="L218">
        <v>228.98</v>
      </c>
      <c r="M218" t="s">
        <v>22</v>
      </c>
      <c r="N218" t="s">
        <v>41</v>
      </c>
    </row>
    <row r="219" spans="1:14">
      <c r="A219" t="s">
        <v>360</v>
      </c>
      <c r="B219" s="1">
        <v>45261</v>
      </c>
      <c r="C219" t="s">
        <v>43</v>
      </c>
      <c r="D219" t="s">
        <v>44</v>
      </c>
      <c r="E219" t="s">
        <v>135</v>
      </c>
      <c r="F219" t="s">
        <v>136</v>
      </c>
      <c r="G219" t="s">
        <v>69</v>
      </c>
      <c r="H219" t="s">
        <v>154</v>
      </c>
      <c r="I219" t="s">
        <v>93</v>
      </c>
      <c r="J219">
        <v>2331</v>
      </c>
      <c r="K219">
        <v>2</v>
      </c>
      <c r="L219">
        <v>425.75</v>
      </c>
      <c r="M219" t="s">
        <v>22</v>
      </c>
      <c r="N219" t="s">
        <v>32</v>
      </c>
    </row>
    <row r="220" spans="1:14">
      <c r="A220" t="s">
        <v>361</v>
      </c>
      <c r="B220" s="1">
        <v>44944</v>
      </c>
      <c r="C220" t="s">
        <v>81</v>
      </c>
      <c r="D220" t="s">
        <v>82</v>
      </c>
      <c r="E220" t="s">
        <v>17</v>
      </c>
      <c r="F220" t="s">
        <v>18</v>
      </c>
      <c r="G220" t="s">
        <v>19</v>
      </c>
      <c r="H220" t="s">
        <v>154</v>
      </c>
      <c r="I220" t="s">
        <v>93</v>
      </c>
      <c r="J220">
        <v>1100.75</v>
      </c>
      <c r="K220">
        <v>1</v>
      </c>
      <c r="L220">
        <v>-165.11</v>
      </c>
      <c r="M220" t="s">
        <v>40</v>
      </c>
      <c r="N220" t="s">
        <v>75</v>
      </c>
    </row>
    <row r="221" spans="1:14">
      <c r="A221" t="s">
        <v>362</v>
      </c>
      <c r="B221" s="1">
        <v>45145</v>
      </c>
      <c r="C221" t="s">
        <v>145</v>
      </c>
      <c r="D221" t="s">
        <v>146</v>
      </c>
      <c r="E221" t="s">
        <v>98</v>
      </c>
      <c r="F221" t="s">
        <v>68</v>
      </c>
      <c r="G221" t="s">
        <v>69</v>
      </c>
      <c r="H221" t="s">
        <v>206</v>
      </c>
      <c r="I221" t="s">
        <v>21</v>
      </c>
      <c r="J221">
        <v>155997.6</v>
      </c>
      <c r="K221">
        <v>3</v>
      </c>
      <c r="L221">
        <v>-23399.64</v>
      </c>
      <c r="M221" t="s">
        <v>63</v>
      </c>
      <c r="N221" t="s">
        <v>75</v>
      </c>
    </row>
    <row r="222" spans="1:14">
      <c r="A222" t="s">
        <v>363</v>
      </c>
      <c r="B222" s="1">
        <v>45107</v>
      </c>
      <c r="C222" t="s">
        <v>119</v>
      </c>
      <c r="D222" t="s">
        <v>120</v>
      </c>
      <c r="E222" t="s">
        <v>98</v>
      </c>
      <c r="F222" t="s">
        <v>68</v>
      </c>
      <c r="G222" t="s">
        <v>69</v>
      </c>
      <c r="H222" t="s">
        <v>184</v>
      </c>
      <c r="I222" t="s">
        <v>39</v>
      </c>
      <c r="J222">
        <v>1785</v>
      </c>
      <c r="K222">
        <v>4</v>
      </c>
      <c r="L222">
        <v>463.75</v>
      </c>
      <c r="M222" t="s">
        <v>90</v>
      </c>
      <c r="N222" t="s">
        <v>32</v>
      </c>
    </row>
    <row r="223" spans="1:14">
      <c r="A223" t="s">
        <v>364</v>
      </c>
      <c r="B223" s="1">
        <v>45064</v>
      </c>
      <c r="C223" t="s">
        <v>275</v>
      </c>
      <c r="D223" t="s">
        <v>276</v>
      </c>
      <c r="E223" t="s">
        <v>67</v>
      </c>
      <c r="F223" t="s">
        <v>68</v>
      </c>
      <c r="G223" t="s">
        <v>69</v>
      </c>
      <c r="H223" t="s">
        <v>45</v>
      </c>
      <c r="I223" t="s">
        <v>21</v>
      </c>
      <c r="J223">
        <v>3117.6</v>
      </c>
      <c r="K223">
        <v>3</v>
      </c>
      <c r="L223">
        <v>375.45</v>
      </c>
      <c r="M223" t="s">
        <v>90</v>
      </c>
      <c r="N223" t="s">
        <v>32</v>
      </c>
    </row>
    <row r="224" spans="1:14">
      <c r="A224" t="s">
        <v>365</v>
      </c>
      <c r="B224" s="1">
        <v>45183</v>
      </c>
      <c r="C224" t="s">
        <v>275</v>
      </c>
      <c r="D224" t="s">
        <v>276</v>
      </c>
      <c r="E224" t="s">
        <v>135</v>
      </c>
      <c r="F224" t="s">
        <v>136</v>
      </c>
      <c r="G224" t="s">
        <v>69</v>
      </c>
      <c r="H224" t="s">
        <v>111</v>
      </c>
      <c r="I224" t="s">
        <v>59</v>
      </c>
      <c r="J224">
        <v>3236.4</v>
      </c>
      <c r="K224">
        <v>4</v>
      </c>
      <c r="L224">
        <v>-749.7</v>
      </c>
      <c r="M224" t="s">
        <v>40</v>
      </c>
      <c r="N224" t="s">
        <v>130</v>
      </c>
    </row>
    <row r="225" spans="1:14">
      <c r="A225" t="s">
        <v>366</v>
      </c>
      <c r="B225" s="1">
        <v>45012</v>
      </c>
      <c r="C225" t="s">
        <v>170</v>
      </c>
      <c r="D225" t="s">
        <v>171</v>
      </c>
      <c r="E225" t="s">
        <v>141</v>
      </c>
      <c r="F225" t="s">
        <v>142</v>
      </c>
      <c r="G225" t="s">
        <v>50</v>
      </c>
      <c r="H225" t="s">
        <v>154</v>
      </c>
      <c r="I225" t="s">
        <v>93</v>
      </c>
      <c r="J225">
        <v>3496.5</v>
      </c>
      <c r="K225">
        <v>3</v>
      </c>
      <c r="L225">
        <v>638.62</v>
      </c>
      <c r="M225" t="s">
        <v>22</v>
      </c>
      <c r="N225" t="s">
        <v>32</v>
      </c>
    </row>
    <row r="226" spans="1:14">
      <c r="A226" t="s">
        <v>367</v>
      </c>
      <c r="B226" s="1">
        <v>45086</v>
      </c>
      <c r="C226" t="s">
        <v>160</v>
      </c>
      <c r="D226" t="s">
        <v>161</v>
      </c>
      <c r="E226" t="s">
        <v>36</v>
      </c>
      <c r="F226" t="s">
        <v>37</v>
      </c>
      <c r="G226" t="s">
        <v>19</v>
      </c>
      <c r="H226" t="s">
        <v>177</v>
      </c>
      <c r="I226" t="s">
        <v>93</v>
      </c>
      <c r="J226">
        <v>3822.45</v>
      </c>
      <c r="K226">
        <v>3</v>
      </c>
      <c r="L226">
        <v>-573.37</v>
      </c>
      <c r="M226" t="s">
        <v>40</v>
      </c>
      <c r="N226" t="s">
        <v>75</v>
      </c>
    </row>
    <row r="227" spans="1:14">
      <c r="A227" t="s">
        <v>368</v>
      </c>
      <c r="B227" s="1">
        <v>45261</v>
      </c>
      <c r="C227" t="s">
        <v>119</v>
      </c>
      <c r="D227" t="s">
        <v>120</v>
      </c>
      <c r="E227" t="s">
        <v>49</v>
      </c>
      <c r="F227" t="s">
        <v>49</v>
      </c>
      <c r="G227" t="s">
        <v>50</v>
      </c>
      <c r="H227" t="s">
        <v>189</v>
      </c>
      <c r="I227" t="s">
        <v>59</v>
      </c>
      <c r="J227">
        <v>1850</v>
      </c>
      <c r="K227">
        <v>1</v>
      </c>
      <c r="L227">
        <v>340</v>
      </c>
      <c r="M227" t="s">
        <v>90</v>
      </c>
      <c r="N227" t="s">
        <v>130</v>
      </c>
    </row>
    <row r="228" spans="1:14">
      <c r="A228" t="s">
        <v>369</v>
      </c>
      <c r="B228" s="1">
        <v>45290</v>
      </c>
      <c r="C228" t="s">
        <v>81</v>
      </c>
      <c r="D228" t="s">
        <v>82</v>
      </c>
      <c r="E228" t="s">
        <v>87</v>
      </c>
      <c r="F228" t="s">
        <v>88</v>
      </c>
      <c r="G228" t="s">
        <v>29</v>
      </c>
      <c r="H228" t="s">
        <v>74</v>
      </c>
      <c r="I228" t="s">
        <v>31</v>
      </c>
      <c r="J228">
        <v>33141.5</v>
      </c>
      <c r="K228">
        <v>1</v>
      </c>
      <c r="L228">
        <v>-286.38</v>
      </c>
      <c r="M228" t="s">
        <v>40</v>
      </c>
      <c r="N228" t="s">
        <v>32</v>
      </c>
    </row>
    <row r="229" spans="1:14">
      <c r="A229" t="s">
        <v>370</v>
      </c>
      <c r="B229" s="1">
        <v>45013</v>
      </c>
      <c r="C229" t="s">
        <v>170</v>
      </c>
      <c r="D229" t="s">
        <v>171</v>
      </c>
      <c r="E229" t="s">
        <v>141</v>
      </c>
      <c r="F229" t="s">
        <v>142</v>
      </c>
      <c r="G229" t="s">
        <v>50</v>
      </c>
      <c r="H229" t="s">
        <v>128</v>
      </c>
      <c r="I229" t="s">
        <v>31</v>
      </c>
      <c r="J229">
        <v>2392</v>
      </c>
      <c r="K229">
        <v>2</v>
      </c>
      <c r="L229">
        <v>251.5</v>
      </c>
      <c r="M229" t="s">
        <v>22</v>
      </c>
      <c r="N229" t="s">
        <v>32</v>
      </c>
    </row>
    <row r="230" spans="1:14">
      <c r="A230" t="s">
        <v>371</v>
      </c>
      <c r="B230" s="1">
        <v>44929</v>
      </c>
      <c r="C230" t="s">
        <v>15</v>
      </c>
      <c r="D230" t="s">
        <v>16</v>
      </c>
      <c r="E230" t="s">
        <v>17</v>
      </c>
      <c r="F230" t="s">
        <v>18</v>
      </c>
      <c r="G230" t="s">
        <v>19</v>
      </c>
      <c r="H230" t="s">
        <v>126</v>
      </c>
      <c r="I230" t="s">
        <v>21</v>
      </c>
      <c r="J230">
        <v>79998</v>
      </c>
      <c r="K230">
        <v>2</v>
      </c>
      <c r="L230">
        <v>9600</v>
      </c>
      <c r="M230" t="s">
        <v>40</v>
      </c>
      <c r="N230" t="s">
        <v>41</v>
      </c>
    </row>
    <row r="231" spans="1:14">
      <c r="A231" t="s">
        <v>372</v>
      </c>
      <c r="B231" s="1">
        <v>45039</v>
      </c>
      <c r="C231" t="s">
        <v>43</v>
      </c>
      <c r="D231" t="s">
        <v>44</v>
      </c>
      <c r="E231" t="s">
        <v>157</v>
      </c>
      <c r="F231" t="s">
        <v>158</v>
      </c>
      <c r="G231" t="s">
        <v>29</v>
      </c>
      <c r="H231" t="s">
        <v>20</v>
      </c>
      <c r="I231" t="s">
        <v>21</v>
      </c>
      <c r="J231">
        <v>3597</v>
      </c>
      <c r="K231">
        <v>3</v>
      </c>
      <c r="L231">
        <v>780</v>
      </c>
      <c r="M231" t="s">
        <v>22</v>
      </c>
      <c r="N231" t="s">
        <v>32</v>
      </c>
    </row>
    <row r="232" spans="1:14">
      <c r="A232" t="s">
        <v>373</v>
      </c>
      <c r="B232" s="1">
        <v>45214</v>
      </c>
      <c r="C232" t="s">
        <v>170</v>
      </c>
      <c r="D232" t="s">
        <v>171</v>
      </c>
      <c r="E232" t="s">
        <v>95</v>
      </c>
      <c r="F232" t="s">
        <v>96</v>
      </c>
      <c r="G232" t="s">
        <v>19</v>
      </c>
      <c r="H232" t="s">
        <v>184</v>
      </c>
      <c r="I232" t="s">
        <v>39</v>
      </c>
      <c r="J232">
        <v>1890</v>
      </c>
      <c r="K232">
        <v>4</v>
      </c>
      <c r="L232">
        <v>542.5</v>
      </c>
      <c r="M232" t="s">
        <v>63</v>
      </c>
      <c r="N232" t="s">
        <v>130</v>
      </c>
    </row>
    <row r="233" spans="1:14">
      <c r="A233" t="s">
        <v>374</v>
      </c>
      <c r="B233" s="1">
        <v>45009</v>
      </c>
      <c r="C233" t="s">
        <v>25</v>
      </c>
      <c r="D233" t="s">
        <v>26</v>
      </c>
      <c r="E233" t="s">
        <v>98</v>
      </c>
      <c r="F233" t="s">
        <v>68</v>
      </c>
      <c r="G233" t="s">
        <v>69</v>
      </c>
      <c r="H233" t="s">
        <v>45</v>
      </c>
      <c r="I233" t="s">
        <v>21</v>
      </c>
      <c r="J233">
        <v>2598</v>
      </c>
      <c r="K233">
        <v>2</v>
      </c>
      <c r="L233">
        <v>640</v>
      </c>
      <c r="M233" t="s">
        <v>22</v>
      </c>
      <c r="N233" t="s">
        <v>32</v>
      </c>
    </row>
    <row r="234" spans="1:14">
      <c r="A234" t="s">
        <v>375</v>
      </c>
      <c r="B234" s="1">
        <v>45235</v>
      </c>
      <c r="C234" t="s">
        <v>101</v>
      </c>
      <c r="D234" t="s">
        <v>102</v>
      </c>
      <c r="E234" t="s">
        <v>27</v>
      </c>
      <c r="F234" t="s">
        <v>28</v>
      </c>
      <c r="G234" t="s">
        <v>29</v>
      </c>
      <c r="H234" t="s">
        <v>74</v>
      </c>
      <c r="I234" t="s">
        <v>31</v>
      </c>
      <c r="J234">
        <v>111121.5</v>
      </c>
      <c r="K234">
        <v>3</v>
      </c>
      <c r="L234">
        <v>7913.62</v>
      </c>
      <c r="M234" t="s">
        <v>22</v>
      </c>
      <c r="N234" t="s">
        <v>32</v>
      </c>
    </row>
    <row r="235" spans="1:14">
      <c r="A235" t="s">
        <v>376</v>
      </c>
      <c r="B235" s="1">
        <v>45130</v>
      </c>
      <c r="C235" t="s">
        <v>275</v>
      </c>
      <c r="D235" t="s">
        <v>276</v>
      </c>
      <c r="E235" t="s">
        <v>49</v>
      </c>
      <c r="F235" t="s">
        <v>49</v>
      </c>
      <c r="G235" t="s">
        <v>50</v>
      </c>
      <c r="H235" t="s">
        <v>206</v>
      </c>
      <c r="I235" t="s">
        <v>21</v>
      </c>
      <c r="J235">
        <v>194997</v>
      </c>
      <c r="K235">
        <v>3</v>
      </c>
      <c r="L235">
        <v>21600</v>
      </c>
      <c r="M235" t="s">
        <v>22</v>
      </c>
      <c r="N235" t="s">
        <v>130</v>
      </c>
    </row>
    <row r="236" spans="1:14">
      <c r="A236" t="s">
        <v>377</v>
      </c>
      <c r="B236" s="1">
        <v>44932</v>
      </c>
      <c r="C236" t="s">
        <v>65</v>
      </c>
      <c r="D236" t="s">
        <v>66</v>
      </c>
      <c r="E236" t="s">
        <v>49</v>
      </c>
      <c r="F236" t="s">
        <v>49</v>
      </c>
      <c r="G236" t="s">
        <v>50</v>
      </c>
      <c r="H236" t="s">
        <v>173</v>
      </c>
      <c r="I236" t="s">
        <v>59</v>
      </c>
      <c r="J236">
        <v>4299</v>
      </c>
      <c r="K236">
        <v>1</v>
      </c>
      <c r="L236">
        <v>720</v>
      </c>
      <c r="M236" t="s">
        <v>63</v>
      </c>
      <c r="N236" t="s">
        <v>32</v>
      </c>
    </row>
    <row r="237" spans="1:14">
      <c r="A237" t="s">
        <v>378</v>
      </c>
      <c r="B237" s="1">
        <v>45082</v>
      </c>
      <c r="C237" t="s">
        <v>149</v>
      </c>
      <c r="D237" t="s">
        <v>150</v>
      </c>
      <c r="E237" t="s">
        <v>56</v>
      </c>
      <c r="F237" t="s">
        <v>57</v>
      </c>
      <c r="G237" t="s">
        <v>50</v>
      </c>
      <c r="H237" t="s">
        <v>70</v>
      </c>
      <c r="I237" t="s">
        <v>39</v>
      </c>
      <c r="J237">
        <v>780</v>
      </c>
      <c r="K237">
        <v>1</v>
      </c>
      <c r="L237">
        <v>240</v>
      </c>
      <c r="M237" t="s">
        <v>63</v>
      </c>
      <c r="N237" t="s">
        <v>32</v>
      </c>
    </row>
    <row r="238" spans="1:14">
      <c r="A238" t="s">
        <v>379</v>
      </c>
      <c r="B238" s="1">
        <v>45244</v>
      </c>
      <c r="C238" t="s">
        <v>54</v>
      </c>
      <c r="D238" t="s">
        <v>55</v>
      </c>
      <c r="E238" t="s">
        <v>103</v>
      </c>
      <c r="F238" t="s">
        <v>104</v>
      </c>
      <c r="G238" t="s">
        <v>19</v>
      </c>
      <c r="H238" t="s">
        <v>115</v>
      </c>
      <c r="I238" t="s">
        <v>93</v>
      </c>
      <c r="J238">
        <v>959.2</v>
      </c>
      <c r="K238">
        <v>1</v>
      </c>
      <c r="L238">
        <v>110.15</v>
      </c>
      <c r="M238" t="s">
        <v>22</v>
      </c>
      <c r="N238" t="s">
        <v>32</v>
      </c>
    </row>
    <row r="239" spans="1:14">
      <c r="A239" t="s">
        <v>380</v>
      </c>
      <c r="B239" s="1">
        <v>45231</v>
      </c>
      <c r="C239" t="s">
        <v>145</v>
      </c>
      <c r="D239" t="s">
        <v>146</v>
      </c>
      <c r="E239" t="s">
        <v>27</v>
      </c>
      <c r="F239" t="s">
        <v>28</v>
      </c>
      <c r="G239" t="s">
        <v>29</v>
      </c>
      <c r="H239" t="s">
        <v>128</v>
      </c>
      <c r="I239" t="s">
        <v>31</v>
      </c>
      <c r="J239">
        <v>3812.25</v>
      </c>
      <c r="K239">
        <v>3</v>
      </c>
      <c r="L239">
        <v>545.44000000000005</v>
      </c>
      <c r="M239" t="s">
        <v>22</v>
      </c>
      <c r="N239" t="s">
        <v>32</v>
      </c>
    </row>
    <row r="240" spans="1:14">
      <c r="A240" t="s">
        <v>381</v>
      </c>
      <c r="B240" s="1">
        <v>45010</v>
      </c>
      <c r="C240" t="s">
        <v>15</v>
      </c>
      <c r="D240" t="s">
        <v>16</v>
      </c>
      <c r="E240" t="s">
        <v>135</v>
      </c>
      <c r="F240" t="s">
        <v>136</v>
      </c>
      <c r="G240" t="s">
        <v>69</v>
      </c>
      <c r="H240" t="s">
        <v>30</v>
      </c>
      <c r="I240" t="s">
        <v>31</v>
      </c>
      <c r="J240">
        <v>1528.2</v>
      </c>
      <c r="K240">
        <v>2</v>
      </c>
      <c r="L240">
        <v>292.64999999999998</v>
      </c>
      <c r="M240" t="s">
        <v>22</v>
      </c>
      <c r="N240" t="s">
        <v>32</v>
      </c>
    </row>
    <row r="241" spans="1:14">
      <c r="A241" t="s">
        <v>382</v>
      </c>
      <c r="B241" s="1">
        <v>45041</v>
      </c>
      <c r="C241" t="s">
        <v>132</v>
      </c>
      <c r="D241" t="s">
        <v>133</v>
      </c>
      <c r="E241" t="s">
        <v>141</v>
      </c>
      <c r="F241" t="s">
        <v>142</v>
      </c>
      <c r="G241" t="s">
        <v>50</v>
      </c>
      <c r="H241" t="s">
        <v>99</v>
      </c>
      <c r="I241" t="s">
        <v>21</v>
      </c>
      <c r="J241">
        <v>1518.1</v>
      </c>
      <c r="K241">
        <v>2</v>
      </c>
      <c r="L241">
        <v>440.07</v>
      </c>
      <c r="M241" t="s">
        <v>22</v>
      </c>
      <c r="N241" t="s">
        <v>32</v>
      </c>
    </row>
    <row r="242" spans="1:14">
      <c r="A242" t="s">
        <v>383</v>
      </c>
      <c r="B242" s="1">
        <v>44954</v>
      </c>
      <c r="C242" t="s">
        <v>25</v>
      </c>
      <c r="D242" t="s">
        <v>26</v>
      </c>
      <c r="E242" t="s">
        <v>49</v>
      </c>
      <c r="F242" t="s">
        <v>49</v>
      </c>
      <c r="G242" t="s">
        <v>50</v>
      </c>
      <c r="H242" t="s">
        <v>105</v>
      </c>
      <c r="I242" t="s">
        <v>59</v>
      </c>
      <c r="J242">
        <v>39996.800000000003</v>
      </c>
      <c r="K242">
        <v>4</v>
      </c>
      <c r="L242">
        <v>-13299.4</v>
      </c>
      <c r="M242" t="s">
        <v>22</v>
      </c>
      <c r="N242" t="s">
        <v>32</v>
      </c>
    </row>
    <row r="243" spans="1:14">
      <c r="A243" t="s">
        <v>384</v>
      </c>
      <c r="B243" s="1">
        <v>45268</v>
      </c>
      <c r="C243" t="s">
        <v>275</v>
      </c>
      <c r="D243" t="s">
        <v>276</v>
      </c>
      <c r="E243" t="s">
        <v>98</v>
      </c>
      <c r="F243" t="s">
        <v>68</v>
      </c>
      <c r="G243" t="s">
        <v>69</v>
      </c>
      <c r="H243" t="s">
        <v>173</v>
      </c>
      <c r="I243" t="s">
        <v>59</v>
      </c>
      <c r="J243">
        <v>4299</v>
      </c>
      <c r="K243">
        <v>1</v>
      </c>
      <c r="L243">
        <v>720</v>
      </c>
      <c r="M243" t="s">
        <v>90</v>
      </c>
      <c r="N243" t="s">
        <v>32</v>
      </c>
    </row>
    <row r="244" spans="1:14">
      <c r="A244" t="s">
        <v>385</v>
      </c>
      <c r="B244" s="1">
        <v>44985</v>
      </c>
      <c r="C244" t="s">
        <v>25</v>
      </c>
      <c r="D244" t="s">
        <v>26</v>
      </c>
      <c r="E244" t="s">
        <v>67</v>
      </c>
      <c r="F244" t="s">
        <v>68</v>
      </c>
      <c r="G244" t="s">
        <v>69</v>
      </c>
      <c r="H244" t="s">
        <v>189</v>
      </c>
      <c r="I244" t="s">
        <v>59</v>
      </c>
      <c r="J244">
        <v>6290</v>
      </c>
      <c r="K244">
        <v>4</v>
      </c>
      <c r="L244">
        <v>527.5</v>
      </c>
      <c r="M244" t="s">
        <v>40</v>
      </c>
      <c r="N244" t="s">
        <v>41</v>
      </c>
    </row>
    <row r="245" spans="1:14">
      <c r="A245" t="s">
        <v>386</v>
      </c>
      <c r="B245" s="1">
        <v>44953</v>
      </c>
      <c r="C245" t="s">
        <v>77</v>
      </c>
      <c r="D245" t="s">
        <v>78</v>
      </c>
      <c r="E245" t="s">
        <v>98</v>
      </c>
      <c r="F245" t="s">
        <v>68</v>
      </c>
      <c r="G245" t="s">
        <v>69</v>
      </c>
      <c r="H245" t="s">
        <v>126</v>
      </c>
      <c r="I245" t="s">
        <v>21</v>
      </c>
      <c r="J245">
        <v>119997</v>
      </c>
      <c r="K245">
        <v>3</v>
      </c>
      <c r="L245">
        <v>14400</v>
      </c>
      <c r="M245" t="s">
        <v>22</v>
      </c>
      <c r="N245" t="s">
        <v>32</v>
      </c>
    </row>
    <row r="246" spans="1:14">
      <c r="A246" t="s">
        <v>387</v>
      </c>
      <c r="B246" s="1">
        <v>44973</v>
      </c>
      <c r="C246" t="s">
        <v>101</v>
      </c>
      <c r="D246" t="s">
        <v>102</v>
      </c>
      <c r="E246" t="s">
        <v>49</v>
      </c>
      <c r="F246" t="s">
        <v>49</v>
      </c>
      <c r="G246" t="s">
        <v>50</v>
      </c>
      <c r="H246" t="s">
        <v>105</v>
      </c>
      <c r="I246" t="s">
        <v>59</v>
      </c>
      <c r="J246">
        <v>47496.2</v>
      </c>
      <c r="K246">
        <v>4</v>
      </c>
      <c r="L246">
        <v>-7674.85</v>
      </c>
      <c r="M246" t="s">
        <v>90</v>
      </c>
      <c r="N246" t="s">
        <v>32</v>
      </c>
    </row>
    <row r="247" spans="1:14">
      <c r="A247" t="s">
        <v>388</v>
      </c>
      <c r="B247" s="1">
        <v>45171</v>
      </c>
      <c r="C247" t="s">
        <v>202</v>
      </c>
      <c r="D247" t="s">
        <v>203</v>
      </c>
      <c r="E247" t="s">
        <v>27</v>
      </c>
      <c r="F247" t="s">
        <v>28</v>
      </c>
      <c r="G247" t="s">
        <v>29</v>
      </c>
      <c r="H247" t="s">
        <v>206</v>
      </c>
      <c r="I247" t="s">
        <v>21</v>
      </c>
      <c r="J247">
        <v>155997.6</v>
      </c>
      <c r="K247">
        <v>3</v>
      </c>
      <c r="L247">
        <v>-7649.55</v>
      </c>
      <c r="M247" t="s">
        <v>63</v>
      </c>
      <c r="N247" t="s">
        <v>32</v>
      </c>
    </row>
    <row r="248" spans="1:14">
      <c r="A248" t="s">
        <v>389</v>
      </c>
      <c r="B248" s="1">
        <v>45193</v>
      </c>
      <c r="C248" t="s">
        <v>65</v>
      </c>
      <c r="D248" t="s">
        <v>66</v>
      </c>
      <c r="E248" t="s">
        <v>36</v>
      </c>
      <c r="F248" t="s">
        <v>37</v>
      </c>
      <c r="G248" t="s">
        <v>19</v>
      </c>
      <c r="H248" t="s">
        <v>30</v>
      </c>
      <c r="I248" t="s">
        <v>31</v>
      </c>
      <c r="J248">
        <v>2292.3000000000002</v>
      </c>
      <c r="K248">
        <v>3</v>
      </c>
      <c r="L248">
        <v>438.98</v>
      </c>
      <c r="M248" t="s">
        <v>22</v>
      </c>
      <c r="N248" t="s">
        <v>32</v>
      </c>
    </row>
    <row r="249" spans="1:14">
      <c r="A249" t="s">
        <v>390</v>
      </c>
      <c r="B249" s="1">
        <v>45082</v>
      </c>
      <c r="C249" t="s">
        <v>149</v>
      </c>
      <c r="D249" t="s">
        <v>150</v>
      </c>
      <c r="E249" t="s">
        <v>103</v>
      </c>
      <c r="F249" t="s">
        <v>104</v>
      </c>
      <c r="G249" t="s">
        <v>19</v>
      </c>
      <c r="H249" t="s">
        <v>154</v>
      </c>
      <c r="I249" t="s">
        <v>93</v>
      </c>
      <c r="J249">
        <v>5180</v>
      </c>
      <c r="K249">
        <v>4</v>
      </c>
      <c r="L249">
        <v>-777</v>
      </c>
      <c r="M249" t="s">
        <v>22</v>
      </c>
      <c r="N249" t="s">
        <v>75</v>
      </c>
    </row>
    <row r="250" spans="1:14">
      <c r="A250" t="s">
        <v>391</v>
      </c>
      <c r="B250" s="1">
        <v>45012</v>
      </c>
      <c r="C250" t="s">
        <v>149</v>
      </c>
      <c r="D250" t="s">
        <v>150</v>
      </c>
      <c r="E250" t="s">
        <v>84</v>
      </c>
      <c r="F250" t="s">
        <v>85</v>
      </c>
      <c r="G250" t="s">
        <v>69</v>
      </c>
      <c r="H250" t="s">
        <v>261</v>
      </c>
      <c r="I250" t="s">
        <v>21</v>
      </c>
      <c r="J250">
        <v>70396.800000000003</v>
      </c>
      <c r="K250">
        <v>4</v>
      </c>
      <c r="L250">
        <v>-3599.4</v>
      </c>
      <c r="M250" t="s">
        <v>22</v>
      </c>
      <c r="N250" t="s">
        <v>32</v>
      </c>
    </row>
    <row r="251" spans="1:14">
      <c r="A251" t="s">
        <v>392</v>
      </c>
      <c r="B251" s="1">
        <v>45275</v>
      </c>
      <c r="C251" t="s">
        <v>101</v>
      </c>
      <c r="D251" t="s">
        <v>102</v>
      </c>
      <c r="E251" t="s">
        <v>95</v>
      </c>
      <c r="F251" t="s">
        <v>96</v>
      </c>
      <c r="G251" t="s">
        <v>19</v>
      </c>
      <c r="H251" t="s">
        <v>230</v>
      </c>
      <c r="I251" t="s">
        <v>39</v>
      </c>
      <c r="J251">
        <v>616.54999999999995</v>
      </c>
      <c r="K251">
        <v>1</v>
      </c>
      <c r="L251">
        <v>195.66</v>
      </c>
      <c r="M251" t="s">
        <v>52</v>
      </c>
      <c r="N251" t="s">
        <v>32</v>
      </c>
    </row>
    <row r="252" spans="1:14">
      <c r="A252" t="s">
        <v>393</v>
      </c>
      <c r="B252" s="1">
        <v>45129</v>
      </c>
      <c r="C252" t="s">
        <v>170</v>
      </c>
      <c r="D252" t="s">
        <v>171</v>
      </c>
      <c r="E252" t="s">
        <v>84</v>
      </c>
      <c r="F252" t="s">
        <v>85</v>
      </c>
      <c r="G252" t="s">
        <v>69</v>
      </c>
      <c r="H252" t="s">
        <v>137</v>
      </c>
      <c r="I252" t="s">
        <v>93</v>
      </c>
      <c r="J252">
        <v>1790</v>
      </c>
      <c r="K252">
        <v>1</v>
      </c>
      <c r="L252">
        <v>390</v>
      </c>
      <c r="M252" t="s">
        <v>63</v>
      </c>
      <c r="N252" t="s">
        <v>130</v>
      </c>
    </row>
    <row r="253" spans="1:14">
      <c r="A253" t="s">
        <v>394</v>
      </c>
      <c r="B253" s="1">
        <v>45099</v>
      </c>
      <c r="C253" t="s">
        <v>47</v>
      </c>
      <c r="D253" t="s">
        <v>48</v>
      </c>
      <c r="E253" t="s">
        <v>98</v>
      </c>
      <c r="F253" t="s">
        <v>68</v>
      </c>
      <c r="G253" t="s">
        <v>69</v>
      </c>
      <c r="H253" t="s">
        <v>206</v>
      </c>
      <c r="I253" t="s">
        <v>21</v>
      </c>
      <c r="J253">
        <v>207996.79999999999</v>
      </c>
      <c r="K253">
        <v>4</v>
      </c>
      <c r="L253">
        <v>-10199.4</v>
      </c>
      <c r="M253" t="s">
        <v>63</v>
      </c>
      <c r="N253" t="s">
        <v>32</v>
      </c>
    </row>
    <row r="254" spans="1:14">
      <c r="A254" t="s">
        <v>395</v>
      </c>
      <c r="B254" s="1">
        <v>45047</v>
      </c>
      <c r="C254" t="s">
        <v>47</v>
      </c>
      <c r="D254" t="s">
        <v>48</v>
      </c>
      <c r="E254" t="s">
        <v>135</v>
      </c>
      <c r="F254" t="s">
        <v>136</v>
      </c>
      <c r="G254" t="s">
        <v>69</v>
      </c>
      <c r="H254" t="s">
        <v>206</v>
      </c>
      <c r="I254" t="s">
        <v>21</v>
      </c>
      <c r="J254">
        <v>220996.6</v>
      </c>
      <c r="K254">
        <v>4</v>
      </c>
      <c r="L254">
        <v>-449.55</v>
      </c>
      <c r="M254" t="s">
        <v>40</v>
      </c>
      <c r="N254" t="s">
        <v>32</v>
      </c>
    </row>
    <row r="255" spans="1:14">
      <c r="A255" t="s">
        <v>396</v>
      </c>
      <c r="B255" s="1">
        <v>45156</v>
      </c>
      <c r="C255" t="s">
        <v>145</v>
      </c>
      <c r="D255" t="s">
        <v>146</v>
      </c>
      <c r="E255" t="s">
        <v>84</v>
      </c>
      <c r="F255" t="s">
        <v>85</v>
      </c>
      <c r="G255" t="s">
        <v>69</v>
      </c>
      <c r="H255" t="s">
        <v>45</v>
      </c>
      <c r="I255" t="s">
        <v>21</v>
      </c>
      <c r="J255">
        <v>1104.1500000000001</v>
      </c>
      <c r="K255">
        <v>1</v>
      </c>
      <c r="L255">
        <v>173.86</v>
      </c>
      <c r="M255" t="s">
        <v>90</v>
      </c>
      <c r="N255" t="s">
        <v>32</v>
      </c>
    </row>
    <row r="256" spans="1:14">
      <c r="A256" t="s">
        <v>397</v>
      </c>
      <c r="B256" s="1">
        <v>45122</v>
      </c>
      <c r="C256" t="s">
        <v>43</v>
      </c>
      <c r="D256" t="s">
        <v>44</v>
      </c>
      <c r="E256" t="s">
        <v>56</v>
      </c>
      <c r="F256" t="s">
        <v>57</v>
      </c>
      <c r="G256" t="s">
        <v>50</v>
      </c>
      <c r="H256" t="s">
        <v>117</v>
      </c>
      <c r="I256" t="s">
        <v>93</v>
      </c>
      <c r="J256">
        <v>9196</v>
      </c>
      <c r="K256">
        <v>4</v>
      </c>
      <c r="L256">
        <v>-1379.4</v>
      </c>
      <c r="M256" t="s">
        <v>63</v>
      </c>
      <c r="N256" t="s">
        <v>75</v>
      </c>
    </row>
    <row r="257" spans="1:14">
      <c r="A257" t="s">
        <v>398</v>
      </c>
      <c r="B257" s="1">
        <v>45038</v>
      </c>
      <c r="C257" t="s">
        <v>175</v>
      </c>
      <c r="D257" t="s">
        <v>176</v>
      </c>
      <c r="E257" t="s">
        <v>17</v>
      </c>
      <c r="F257" t="s">
        <v>18</v>
      </c>
      <c r="G257" t="s">
        <v>19</v>
      </c>
      <c r="H257" t="s">
        <v>70</v>
      </c>
      <c r="I257" t="s">
        <v>39</v>
      </c>
      <c r="J257">
        <v>1989</v>
      </c>
      <c r="K257">
        <v>3</v>
      </c>
      <c r="L257">
        <v>456.75</v>
      </c>
      <c r="M257" t="s">
        <v>22</v>
      </c>
      <c r="N257" t="s">
        <v>32</v>
      </c>
    </row>
    <row r="258" spans="1:14">
      <c r="A258" t="s">
        <v>399</v>
      </c>
      <c r="B258" s="1">
        <v>44928</v>
      </c>
      <c r="C258" t="s">
        <v>170</v>
      </c>
      <c r="D258" t="s">
        <v>171</v>
      </c>
      <c r="E258" t="s">
        <v>17</v>
      </c>
      <c r="F258" t="s">
        <v>18</v>
      </c>
      <c r="G258" t="s">
        <v>19</v>
      </c>
      <c r="H258" t="s">
        <v>99</v>
      </c>
      <c r="I258" t="s">
        <v>21</v>
      </c>
      <c r="J258">
        <v>2397</v>
      </c>
      <c r="K258">
        <v>3</v>
      </c>
      <c r="L258">
        <v>750</v>
      </c>
      <c r="M258" t="s">
        <v>63</v>
      </c>
      <c r="N258" t="s">
        <v>32</v>
      </c>
    </row>
    <row r="259" spans="1:14">
      <c r="A259" t="s">
        <v>400</v>
      </c>
      <c r="B259" s="1">
        <v>45204</v>
      </c>
      <c r="C259" t="s">
        <v>170</v>
      </c>
      <c r="D259" t="s">
        <v>171</v>
      </c>
      <c r="E259" t="s">
        <v>17</v>
      </c>
      <c r="F259" t="s">
        <v>18</v>
      </c>
      <c r="G259" t="s">
        <v>19</v>
      </c>
      <c r="H259" t="s">
        <v>45</v>
      </c>
      <c r="I259" t="s">
        <v>21</v>
      </c>
      <c r="J259">
        <v>3507.3</v>
      </c>
      <c r="K259">
        <v>3</v>
      </c>
      <c r="L259">
        <v>667.72</v>
      </c>
      <c r="M259" t="s">
        <v>90</v>
      </c>
      <c r="N259" t="s">
        <v>32</v>
      </c>
    </row>
    <row r="260" spans="1:14">
      <c r="A260" t="s">
        <v>401</v>
      </c>
      <c r="B260" s="1">
        <v>45080</v>
      </c>
      <c r="C260" t="s">
        <v>47</v>
      </c>
      <c r="D260" t="s">
        <v>48</v>
      </c>
      <c r="E260" t="s">
        <v>84</v>
      </c>
      <c r="F260" t="s">
        <v>85</v>
      </c>
      <c r="G260" t="s">
        <v>69</v>
      </c>
      <c r="H260" t="s">
        <v>99</v>
      </c>
      <c r="I260" t="s">
        <v>21</v>
      </c>
      <c r="J260">
        <v>639.20000000000005</v>
      </c>
      <c r="K260">
        <v>1</v>
      </c>
      <c r="L260">
        <v>130.15</v>
      </c>
      <c r="M260" t="s">
        <v>63</v>
      </c>
      <c r="N260" t="s">
        <v>32</v>
      </c>
    </row>
    <row r="261" spans="1:14">
      <c r="A261" t="s">
        <v>402</v>
      </c>
      <c r="B261" s="1">
        <v>44959</v>
      </c>
      <c r="C261" t="s">
        <v>25</v>
      </c>
      <c r="D261" t="s">
        <v>26</v>
      </c>
      <c r="E261" t="s">
        <v>17</v>
      </c>
      <c r="F261" t="s">
        <v>18</v>
      </c>
      <c r="G261" t="s">
        <v>19</v>
      </c>
      <c r="H261" t="s">
        <v>45</v>
      </c>
      <c r="I261" t="s">
        <v>21</v>
      </c>
      <c r="J261">
        <v>3897</v>
      </c>
      <c r="K261">
        <v>3</v>
      </c>
      <c r="L261">
        <v>960</v>
      </c>
      <c r="M261" t="s">
        <v>22</v>
      </c>
      <c r="N261" t="s">
        <v>32</v>
      </c>
    </row>
    <row r="262" spans="1:14">
      <c r="A262" t="s">
        <v>403</v>
      </c>
      <c r="B262" s="1">
        <v>45178</v>
      </c>
      <c r="C262" t="s">
        <v>122</v>
      </c>
      <c r="D262" t="s">
        <v>123</v>
      </c>
      <c r="E262" t="s">
        <v>17</v>
      </c>
      <c r="F262" t="s">
        <v>18</v>
      </c>
      <c r="G262" t="s">
        <v>19</v>
      </c>
      <c r="H262" t="s">
        <v>30</v>
      </c>
      <c r="I262" t="s">
        <v>31</v>
      </c>
      <c r="J262">
        <v>849</v>
      </c>
      <c r="K262">
        <v>1</v>
      </c>
      <c r="L262">
        <v>210</v>
      </c>
      <c r="M262" t="s">
        <v>22</v>
      </c>
      <c r="N262" t="s">
        <v>32</v>
      </c>
    </row>
    <row r="263" spans="1:14">
      <c r="A263" t="s">
        <v>404</v>
      </c>
      <c r="B263" s="1">
        <v>44984</v>
      </c>
      <c r="C263" t="s">
        <v>43</v>
      </c>
      <c r="D263" t="s">
        <v>44</v>
      </c>
      <c r="E263" t="s">
        <v>36</v>
      </c>
      <c r="F263" t="s">
        <v>37</v>
      </c>
      <c r="G263" t="s">
        <v>19</v>
      </c>
      <c r="H263" t="s">
        <v>154</v>
      </c>
      <c r="I263" t="s">
        <v>93</v>
      </c>
      <c r="J263">
        <v>1036</v>
      </c>
      <c r="K263">
        <v>1</v>
      </c>
      <c r="L263">
        <v>115.75</v>
      </c>
      <c r="M263" t="s">
        <v>40</v>
      </c>
      <c r="N263" t="s">
        <v>32</v>
      </c>
    </row>
    <row r="264" spans="1:14">
      <c r="A264" t="s">
        <v>405</v>
      </c>
      <c r="B264" s="1">
        <v>45084</v>
      </c>
      <c r="C264" t="s">
        <v>54</v>
      </c>
      <c r="D264" t="s">
        <v>55</v>
      </c>
      <c r="E264" t="s">
        <v>87</v>
      </c>
      <c r="F264" t="s">
        <v>88</v>
      </c>
      <c r="G264" t="s">
        <v>29</v>
      </c>
      <c r="H264" t="s">
        <v>115</v>
      </c>
      <c r="I264" t="s">
        <v>93</v>
      </c>
      <c r="J264">
        <v>1199</v>
      </c>
      <c r="K264">
        <v>1</v>
      </c>
      <c r="L264">
        <v>290</v>
      </c>
      <c r="M264" t="s">
        <v>22</v>
      </c>
      <c r="N264" t="s">
        <v>130</v>
      </c>
    </row>
    <row r="265" spans="1:14">
      <c r="A265" t="s">
        <v>406</v>
      </c>
      <c r="B265" s="1">
        <v>45278</v>
      </c>
      <c r="C265" t="s">
        <v>119</v>
      </c>
      <c r="D265" t="s">
        <v>120</v>
      </c>
      <c r="E265" t="s">
        <v>157</v>
      </c>
      <c r="F265" t="s">
        <v>158</v>
      </c>
      <c r="G265" t="s">
        <v>29</v>
      </c>
      <c r="H265" t="s">
        <v>109</v>
      </c>
      <c r="I265" t="s">
        <v>31</v>
      </c>
      <c r="J265">
        <v>43992</v>
      </c>
      <c r="K265">
        <v>1</v>
      </c>
      <c r="L265">
        <v>-6598.8</v>
      </c>
      <c r="M265" t="s">
        <v>63</v>
      </c>
      <c r="N265" t="s">
        <v>75</v>
      </c>
    </row>
    <row r="266" spans="1:14">
      <c r="A266" t="s">
        <v>407</v>
      </c>
      <c r="B266" s="1">
        <v>45269</v>
      </c>
      <c r="C266" t="s">
        <v>101</v>
      </c>
      <c r="D266" t="s">
        <v>102</v>
      </c>
      <c r="E266" t="s">
        <v>49</v>
      </c>
      <c r="F266" t="s">
        <v>49</v>
      </c>
      <c r="G266" t="s">
        <v>50</v>
      </c>
      <c r="H266" t="s">
        <v>154</v>
      </c>
      <c r="I266" t="s">
        <v>93</v>
      </c>
      <c r="J266">
        <v>2590</v>
      </c>
      <c r="K266">
        <v>2</v>
      </c>
      <c r="L266">
        <v>620</v>
      </c>
      <c r="M266" t="s">
        <v>40</v>
      </c>
      <c r="N266" t="s">
        <v>32</v>
      </c>
    </row>
    <row r="267" spans="1:14">
      <c r="A267" t="s">
        <v>408</v>
      </c>
      <c r="B267" s="1">
        <v>44940</v>
      </c>
      <c r="C267" t="s">
        <v>202</v>
      </c>
      <c r="D267" t="s">
        <v>203</v>
      </c>
      <c r="E267" t="s">
        <v>56</v>
      </c>
      <c r="F267" t="s">
        <v>57</v>
      </c>
      <c r="G267" t="s">
        <v>50</v>
      </c>
      <c r="H267" t="s">
        <v>30</v>
      </c>
      <c r="I267" t="s">
        <v>31</v>
      </c>
      <c r="J267">
        <v>721.65</v>
      </c>
      <c r="K267">
        <v>1</v>
      </c>
      <c r="L267">
        <v>114.49</v>
      </c>
      <c r="M267" t="s">
        <v>40</v>
      </c>
      <c r="N267" t="s">
        <v>32</v>
      </c>
    </row>
    <row r="268" spans="1:14">
      <c r="A268" t="s">
        <v>409</v>
      </c>
      <c r="B268" s="1">
        <v>45270</v>
      </c>
      <c r="C268" t="s">
        <v>175</v>
      </c>
      <c r="D268" t="s">
        <v>176</v>
      </c>
      <c r="E268" t="s">
        <v>67</v>
      </c>
      <c r="F268" t="s">
        <v>68</v>
      </c>
      <c r="G268" t="s">
        <v>69</v>
      </c>
      <c r="H268" t="s">
        <v>20</v>
      </c>
      <c r="I268" t="s">
        <v>21</v>
      </c>
      <c r="J268">
        <v>3237.3</v>
      </c>
      <c r="K268">
        <v>3</v>
      </c>
      <c r="L268">
        <v>510.22</v>
      </c>
      <c r="M268" t="s">
        <v>63</v>
      </c>
      <c r="N268" t="s">
        <v>32</v>
      </c>
    </row>
    <row r="269" spans="1:14">
      <c r="A269" t="s">
        <v>410</v>
      </c>
      <c r="B269" s="1">
        <v>44999</v>
      </c>
      <c r="C269" t="s">
        <v>202</v>
      </c>
      <c r="D269" t="s">
        <v>203</v>
      </c>
      <c r="E269" t="s">
        <v>84</v>
      </c>
      <c r="F269" t="s">
        <v>85</v>
      </c>
      <c r="G269" t="s">
        <v>69</v>
      </c>
      <c r="H269" t="s">
        <v>173</v>
      </c>
      <c r="I269" t="s">
        <v>59</v>
      </c>
      <c r="J269">
        <v>3439.2</v>
      </c>
      <c r="K269">
        <v>1</v>
      </c>
      <c r="L269">
        <v>75.150000000000006</v>
      </c>
      <c r="M269" t="s">
        <v>63</v>
      </c>
      <c r="N269" t="s">
        <v>32</v>
      </c>
    </row>
    <row r="270" spans="1:14">
      <c r="A270" t="s">
        <v>411</v>
      </c>
      <c r="B270" s="1">
        <v>45041</v>
      </c>
      <c r="C270" t="s">
        <v>149</v>
      </c>
      <c r="D270" t="s">
        <v>150</v>
      </c>
      <c r="E270" t="s">
        <v>141</v>
      </c>
      <c r="F270" t="s">
        <v>142</v>
      </c>
      <c r="G270" t="s">
        <v>50</v>
      </c>
      <c r="H270" t="s">
        <v>105</v>
      </c>
      <c r="I270" t="s">
        <v>59</v>
      </c>
      <c r="J270">
        <v>12499</v>
      </c>
      <c r="K270">
        <v>1</v>
      </c>
      <c r="L270">
        <v>-1450</v>
      </c>
      <c r="M270" t="s">
        <v>40</v>
      </c>
      <c r="N270" t="s">
        <v>32</v>
      </c>
    </row>
    <row r="271" spans="1:14">
      <c r="A271" t="s">
        <v>412</v>
      </c>
      <c r="B271" s="1">
        <v>45286</v>
      </c>
      <c r="C271" t="s">
        <v>275</v>
      </c>
      <c r="D271" t="s">
        <v>276</v>
      </c>
      <c r="E271" t="s">
        <v>95</v>
      </c>
      <c r="F271" t="s">
        <v>96</v>
      </c>
      <c r="G271" t="s">
        <v>19</v>
      </c>
      <c r="H271" t="s">
        <v>58</v>
      </c>
      <c r="I271" t="s">
        <v>59</v>
      </c>
      <c r="J271">
        <v>1701</v>
      </c>
      <c r="K271">
        <v>2</v>
      </c>
      <c r="L271">
        <v>278.25</v>
      </c>
      <c r="M271" t="s">
        <v>22</v>
      </c>
      <c r="N271" t="s">
        <v>32</v>
      </c>
    </row>
    <row r="272" spans="1:14">
      <c r="A272" t="s">
        <v>413</v>
      </c>
      <c r="B272" s="1">
        <v>45181</v>
      </c>
      <c r="C272" t="s">
        <v>149</v>
      </c>
      <c r="D272" t="s">
        <v>150</v>
      </c>
      <c r="E272" t="s">
        <v>95</v>
      </c>
      <c r="F272" t="s">
        <v>96</v>
      </c>
      <c r="G272" t="s">
        <v>19</v>
      </c>
      <c r="H272" t="s">
        <v>230</v>
      </c>
      <c r="I272" t="s">
        <v>39</v>
      </c>
      <c r="J272">
        <v>1849.65</v>
      </c>
      <c r="K272">
        <v>3</v>
      </c>
      <c r="L272">
        <v>586.99</v>
      </c>
      <c r="M272" t="s">
        <v>63</v>
      </c>
      <c r="N272" t="s">
        <v>32</v>
      </c>
    </row>
    <row r="273" spans="1:14">
      <c r="A273" t="s">
        <v>414</v>
      </c>
      <c r="B273" s="1">
        <v>45110</v>
      </c>
      <c r="C273" t="s">
        <v>113</v>
      </c>
      <c r="D273" t="s">
        <v>114</v>
      </c>
      <c r="E273" t="s">
        <v>157</v>
      </c>
      <c r="F273" t="s">
        <v>158</v>
      </c>
      <c r="G273" t="s">
        <v>29</v>
      </c>
      <c r="H273" t="s">
        <v>89</v>
      </c>
      <c r="I273" t="s">
        <v>21</v>
      </c>
      <c r="J273">
        <v>3058.3</v>
      </c>
      <c r="K273">
        <v>2</v>
      </c>
      <c r="L273">
        <v>355.23</v>
      </c>
      <c r="M273" t="s">
        <v>40</v>
      </c>
      <c r="N273" t="s">
        <v>130</v>
      </c>
    </row>
    <row r="274" spans="1:14">
      <c r="A274" t="s">
        <v>415</v>
      </c>
      <c r="B274" s="1">
        <v>44975</v>
      </c>
      <c r="C274" t="s">
        <v>72</v>
      </c>
      <c r="D274" t="s">
        <v>73</v>
      </c>
      <c r="E274" t="s">
        <v>67</v>
      </c>
      <c r="F274" t="s">
        <v>68</v>
      </c>
      <c r="G274" t="s">
        <v>69</v>
      </c>
      <c r="H274" t="s">
        <v>30</v>
      </c>
      <c r="I274" t="s">
        <v>31</v>
      </c>
      <c r="J274">
        <v>764.1</v>
      </c>
      <c r="K274">
        <v>1</v>
      </c>
      <c r="L274">
        <v>-114.61</v>
      </c>
      <c r="M274" t="s">
        <v>22</v>
      </c>
      <c r="N274" t="s">
        <v>75</v>
      </c>
    </row>
    <row r="275" spans="1:14">
      <c r="A275" t="s">
        <v>416</v>
      </c>
      <c r="B275" s="1">
        <v>45182</v>
      </c>
      <c r="C275" t="s">
        <v>77</v>
      </c>
      <c r="D275" t="s">
        <v>78</v>
      </c>
      <c r="E275" t="s">
        <v>36</v>
      </c>
      <c r="F275" t="s">
        <v>37</v>
      </c>
      <c r="G275" t="s">
        <v>19</v>
      </c>
      <c r="H275" t="s">
        <v>126</v>
      </c>
      <c r="I275" t="s">
        <v>21</v>
      </c>
      <c r="J275">
        <v>63998.400000000001</v>
      </c>
      <c r="K275">
        <v>2</v>
      </c>
      <c r="L275">
        <v>-2399.6999999999998</v>
      </c>
      <c r="M275" t="s">
        <v>63</v>
      </c>
      <c r="N275" t="s">
        <v>32</v>
      </c>
    </row>
    <row r="276" spans="1:14">
      <c r="A276" t="s">
        <v>417</v>
      </c>
      <c r="B276" s="1">
        <v>45279</v>
      </c>
      <c r="C276" t="s">
        <v>47</v>
      </c>
      <c r="D276" t="s">
        <v>48</v>
      </c>
      <c r="E276" t="s">
        <v>17</v>
      </c>
      <c r="F276" t="s">
        <v>18</v>
      </c>
      <c r="G276" t="s">
        <v>19</v>
      </c>
      <c r="H276" t="s">
        <v>70</v>
      </c>
      <c r="I276" t="s">
        <v>39</v>
      </c>
      <c r="J276">
        <v>2106</v>
      </c>
      <c r="K276">
        <v>3</v>
      </c>
      <c r="L276">
        <v>544.5</v>
      </c>
      <c r="M276" t="s">
        <v>63</v>
      </c>
      <c r="N276" t="s">
        <v>32</v>
      </c>
    </row>
    <row r="277" spans="1:14">
      <c r="A277" t="s">
        <v>418</v>
      </c>
      <c r="B277" s="1">
        <v>45289</v>
      </c>
      <c r="C277" t="s">
        <v>175</v>
      </c>
      <c r="D277" t="s">
        <v>176</v>
      </c>
      <c r="E277" t="s">
        <v>98</v>
      </c>
      <c r="F277" t="s">
        <v>68</v>
      </c>
      <c r="G277" t="s">
        <v>69</v>
      </c>
      <c r="H277" t="s">
        <v>173</v>
      </c>
      <c r="I277" t="s">
        <v>59</v>
      </c>
      <c r="J277">
        <v>17196</v>
      </c>
      <c r="K277">
        <v>4</v>
      </c>
      <c r="L277">
        <v>2880</v>
      </c>
      <c r="M277" t="s">
        <v>22</v>
      </c>
      <c r="N277" t="s">
        <v>130</v>
      </c>
    </row>
    <row r="278" spans="1:14">
      <c r="A278" t="s">
        <v>419</v>
      </c>
      <c r="B278" s="1">
        <v>45138</v>
      </c>
      <c r="C278" t="s">
        <v>81</v>
      </c>
      <c r="D278" t="s">
        <v>82</v>
      </c>
      <c r="E278" t="s">
        <v>98</v>
      </c>
      <c r="F278" t="s">
        <v>68</v>
      </c>
      <c r="G278" t="s">
        <v>69</v>
      </c>
      <c r="H278" t="s">
        <v>70</v>
      </c>
      <c r="I278" t="s">
        <v>39</v>
      </c>
      <c r="J278">
        <v>3120</v>
      </c>
      <c r="K278">
        <v>4</v>
      </c>
      <c r="L278">
        <v>960</v>
      </c>
      <c r="M278" t="s">
        <v>40</v>
      </c>
      <c r="N278" t="s">
        <v>32</v>
      </c>
    </row>
    <row r="279" spans="1:14">
      <c r="A279" t="s">
        <v>420</v>
      </c>
      <c r="B279" s="1">
        <v>45217</v>
      </c>
      <c r="C279" t="s">
        <v>122</v>
      </c>
      <c r="D279" t="s">
        <v>123</v>
      </c>
      <c r="E279" t="s">
        <v>87</v>
      </c>
      <c r="F279" t="s">
        <v>88</v>
      </c>
      <c r="G279" t="s">
        <v>29</v>
      </c>
      <c r="H279" t="s">
        <v>128</v>
      </c>
      <c r="I279" t="s">
        <v>31</v>
      </c>
      <c r="J279">
        <v>1495</v>
      </c>
      <c r="K279">
        <v>1</v>
      </c>
      <c r="L279">
        <v>350</v>
      </c>
      <c r="M279" t="s">
        <v>40</v>
      </c>
      <c r="N279" t="s">
        <v>32</v>
      </c>
    </row>
    <row r="280" spans="1:14">
      <c r="A280" t="s">
        <v>421</v>
      </c>
      <c r="B280" s="1">
        <v>45155</v>
      </c>
      <c r="C280" t="s">
        <v>202</v>
      </c>
      <c r="D280" t="s">
        <v>203</v>
      </c>
      <c r="E280" t="s">
        <v>56</v>
      </c>
      <c r="F280" t="s">
        <v>57</v>
      </c>
      <c r="G280" t="s">
        <v>50</v>
      </c>
      <c r="H280" t="s">
        <v>177</v>
      </c>
      <c r="I280" t="s">
        <v>93</v>
      </c>
      <c r="J280">
        <v>3597.6</v>
      </c>
      <c r="K280">
        <v>3</v>
      </c>
      <c r="L280">
        <v>465.45</v>
      </c>
      <c r="M280" t="s">
        <v>90</v>
      </c>
      <c r="N280" t="s">
        <v>130</v>
      </c>
    </row>
    <row r="281" spans="1:14">
      <c r="A281" t="s">
        <v>422</v>
      </c>
      <c r="B281" s="1">
        <v>45217</v>
      </c>
      <c r="C281" t="s">
        <v>65</v>
      </c>
      <c r="D281" t="s">
        <v>66</v>
      </c>
      <c r="E281" t="s">
        <v>36</v>
      </c>
      <c r="F281" t="s">
        <v>37</v>
      </c>
      <c r="G281" t="s">
        <v>19</v>
      </c>
      <c r="H281" t="s">
        <v>177</v>
      </c>
      <c r="I281" t="s">
        <v>93</v>
      </c>
      <c r="J281">
        <v>1349.1</v>
      </c>
      <c r="K281">
        <v>1</v>
      </c>
      <c r="L281">
        <v>267.57</v>
      </c>
      <c r="M281" t="s">
        <v>63</v>
      </c>
      <c r="N281" t="s">
        <v>32</v>
      </c>
    </row>
    <row r="282" spans="1:14">
      <c r="A282" t="s">
        <v>423</v>
      </c>
      <c r="B282" s="1">
        <v>45054</v>
      </c>
      <c r="C282" t="s">
        <v>149</v>
      </c>
      <c r="D282" t="s">
        <v>150</v>
      </c>
      <c r="E282" t="s">
        <v>84</v>
      </c>
      <c r="F282" t="s">
        <v>85</v>
      </c>
      <c r="G282" t="s">
        <v>69</v>
      </c>
      <c r="H282" t="s">
        <v>117</v>
      </c>
      <c r="I282" t="s">
        <v>93</v>
      </c>
      <c r="J282">
        <v>3908.3</v>
      </c>
      <c r="K282">
        <v>2</v>
      </c>
      <c r="L282">
        <v>-877.27</v>
      </c>
      <c r="M282" t="s">
        <v>22</v>
      </c>
      <c r="N282" t="s">
        <v>32</v>
      </c>
    </row>
    <row r="283" spans="1:14">
      <c r="A283" t="s">
        <v>424</v>
      </c>
      <c r="B283" s="1">
        <v>45247</v>
      </c>
      <c r="C283" t="s">
        <v>275</v>
      </c>
      <c r="D283" t="s">
        <v>276</v>
      </c>
      <c r="E283" t="s">
        <v>135</v>
      </c>
      <c r="F283" t="s">
        <v>136</v>
      </c>
      <c r="G283" t="s">
        <v>69</v>
      </c>
      <c r="H283" t="s">
        <v>115</v>
      </c>
      <c r="I283" t="s">
        <v>93</v>
      </c>
      <c r="J283">
        <v>1079.0999999999999</v>
      </c>
      <c r="K283">
        <v>1</v>
      </c>
      <c r="L283">
        <v>200.07</v>
      </c>
      <c r="M283" t="s">
        <v>22</v>
      </c>
      <c r="N283" t="s">
        <v>32</v>
      </c>
    </row>
    <row r="284" spans="1:14">
      <c r="A284" t="s">
        <v>425</v>
      </c>
      <c r="B284" s="1">
        <v>45074</v>
      </c>
      <c r="C284" t="s">
        <v>15</v>
      </c>
      <c r="D284" t="s">
        <v>16</v>
      </c>
      <c r="E284" t="s">
        <v>103</v>
      </c>
      <c r="F284" t="s">
        <v>104</v>
      </c>
      <c r="G284" t="s">
        <v>19</v>
      </c>
      <c r="H284" t="s">
        <v>105</v>
      </c>
      <c r="I284" t="s">
        <v>59</v>
      </c>
      <c r="J284">
        <v>37497</v>
      </c>
      <c r="K284">
        <v>3</v>
      </c>
      <c r="L284">
        <v>-4350</v>
      </c>
      <c r="M284" t="s">
        <v>22</v>
      </c>
      <c r="N284" t="s">
        <v>41</v>
      </c>
    </row>
    <row r="285" spans="1:14">
      <c r="A285" t="s">
        <v>426</v>
      </c>
      <c r="B285" s="1">
        <v>45150</v>
      </c>
      <c r="C285" t="s">
        <v>77</v>
      </c>
      <c r="D285" t="s">
        <v>78</v>
      </c>
      <c r="E285" t="s">
        <v>98</v>
      </c>
      <c r="F285" t="s">
        <v>68</v>
      </c>
      <c r="G285" t="s">
        <v>69</v>
      </c>
      <c r="H285" t="s">
        <v>261</v>
      </c>
      <c r="I285" t="s">
        <v>21</v>
      </c>
      <c r="J285">
        <v>70396.800000000003</v>
      </c>
      <c r="K285">
        <v>4</v>
      </c>
      <c r="L285">
        <v>-3599.4</v>
      </c>
      <c r="M285" t="s">
        <v>22</v>
      </c>
      <c r="N285" t="s">
        <v>130</v>
      </c>
    </row>
    <row r="286" spans="1:14">
      <c r="A286" t="s">
        <v>427</v>
      </c>
      <c r="B286" s="1">
        <v>44971</v>
      </c>
      <c r="C286" t="s">
        <v>160</v>
      </c>
      <c r="D286" t="s">
        <v>161</v>
      </c>
      <c r="E286" t="s">
        <v>56</v>
      </c>
      <c r="F286" t="s">
        <v>57</v>
      </c>
      <c r="G286" t="s">
        <v>50</v>
      </c>
      <c r="H286" t="s">
        <v>20</v>
      </c>
      <c r="I286" t="s">
        <v>21</v>
      </c>
      <c r="J286">
        <v>2038.3</v>
      </c>
      <c r="K286">
        <v>2</v>
      </c>
      <c r="L286">
        <v>250.23</v>
      </c>
      <c r="M286" t="s">
        <v>40</v>
      </c>
      <c r="N286" t="s">
        <v>32</v>
      </c>
    </row>
    <row r="287" spans="1:14">
      <c r="A287" t="s">
        <v>428</v>
      </c>
      <c r="B287" s="1">
        <v>45060</v>
      </c>
      <c r="C287" t="s">
        <v>81</v>
      </c>
      <c r="D287" t="s">
        <v>82</v>
      </c>
      <c r="E287" t="s">
        <v>157</v>
      </c>
      <c r="F287" t="s">
        <v>158</v>
      </c>
      <c r="G287" t="s">
        <v>29</v>
      </c>
      <c r="H287" t="s">
        <v>109</v>
      </c>
      <c r="I287" t="s">
        <v>31</v>
      </c>
      <c r="J287">
        <v>175968</v>
      </c>
      <c r="K287">
        <v>4</v>
      </c>
      <c r="L287">
        <v>0</v>
      </c>
      <c r="M287" t="s">
        <v>63</v>
      </c>
      <c r="N287" t="s">
        <v>23</v>
      </c>
    </row>
    <row r="288" spans="1:14">
      <c r="A288" t="s">
        <v>429</v>
      </c>
      <c r="B288" s="1">
        <v>44975</v>
      </c>
      <c r="C288" t="s">
        <v>119</v>
      </c>
      <c r="D288" t="s">
        <v>120</v>
      </c>
      <c r="E288" t="s">
        <v>98</v>
      </c>
      <c r="F288" t="s">
        <v>68</v>
      </c>
      <c r="G288" t="s">
        <v>69</v>
      </c>
      <c r="H288" t="s">
        <v>173</v>
      </c>
      <c r="I288" t="s">
        <v>59</v>
      </c>
      <c r="J288">
        <v>4299</v>
      </c>
      <c r="K288">
        <v>1</v>
      </c>
      <c r="L288">
        <v>720</v>
      </c>
      <c r="M288" t="s">
        <v>22</v>
      </c>
      <c r="N288" t="s">
        <v>32</v>
      </c>
    </row>
    <row r="289" spans="1:14">
      <c r="A289" t="s">
        <v>430</v>
      </c>
      <c r="B289" s="1">
        <v>44940</v>
      </c>
      <c r="C289" t="s">
        <v>43</v>
      </c>
      <c r="D289" t="s">
        <v>44</v>
      </c>
      <c r="E289" t="s">
        <v>27</v>
      </c>
      <c r="F289" t="s">
        <v>28</v>
      </c>
      <c r="G289" t="s">
        <v>29</v>
      </c>
      <c r="H289" t="s">
        <v>105</v>
      </c>
      <c r="I289" t="s">
        <v>59</v>
      </c>
      <c r="J289">
        <v>29997.599999999999</v>
      </c>
      <c r="K289">
        <v>3</v>
      </c>
      <c r="L289">
        <v>-4499.6400000000003</v>
      </c>
      <c r="M289" t="s">
        <v>90</v>
      </c>
      <c r="N289" t="s">
        <v>75</v>
      </c>
    </row>
    <row r="290" spans="1:14">
      <c r="A290" t="s">
        <v>431</v>
      </c>
      <c r="B290" s="1">
        <v>44971</v>
      </c>
      <c r="C290" t="s">
        <v>61</v>
      </c>
      <c r="D290" t="s">
        <v>62</v>
      </c>
      <c r="E290" t="s">
        <v>135</v>
      </c>
      <c r="F290" t="s">
        <v>136</v>
      </c>
      <c r="G290" t="s">
        <v>69</v>
      </c>
      <c r="H290" t="s">
        <v>206</v>
      </c>
      <c r="I290" t="s">
        <v>21</v>
      </c>
      <c r="J290">
        <v>55249.15</v>
      </c>
      <c r="K290">
        <v>1</v>
      </c>
      <c r="L290">
        <v>-112.39</v>
      </c>
      <c r="M290" t="s">
        <v>22</v>
      </c>
      <c r="N290" t="s">
        <v>32</v>
      </c>
    </row>
    <row r="291" spans="1:14">
      <c r="A291" t="s">
        <v>432</v>
      </c>
      <c r="B291" s="1">
        <v>44984</v>
      </c>
      <c r="C291" t="s">
        <v>227</v>
      </c>
      <c r="D291" t="s">
        <v>228</v>
      </c>
      <c r="E291" t="s">
        <v>157</v>
      </c>
      <c r="F291" t="s">
        <v>158</v>
      </c>
      <c r="G291" t="s">
        <v>29</v>
      </c>
      <c r="H291" t="s">
        <v>147</v>
      </c>
      <c r="I291" t="s">
        <v>93</v>
      </c>
      <c r="J291">
        <v>5397.3</v>
      </c>
      <c r="K291">
        <v>3</v>
      </c>
      <c r="L291">
        <v>1110.22</v>
      </c>
      <c r="M291" t="s">
        <v>22</v>
      </c>
      <c r="N291" t="s">
        <v>32</v>
      </c>
    </row>
    <row r="292" spans="1:14">
      <c r="A292" t="s">
        <v>433</v>
      </c>
      <c r="B292" s="1">
        <v>45064</v>
      </c>
      <c r="C292" t="s">
        <v>145</v>
      </c>
      <c r="D292" t="s">
        <v>146</v>
      </c>
      <c r="E292" t="s">
        <v>27</v>
      </c>
      <c r="F292" t="s">
        <v>28</v>
      </c>
      <c r="G292" t="s">
        <v>29</v>
      </c>
      <c r="H292" t="s">
        <v>20</v>
      </c>
      <c r="I292" t="s">
        <v>21</v>
      </c>
      <c r="J292">
        <v>2038.3</v>
      </c>
      <c r="K292">
        <v>2</v>
      </c>
      <c r="L292">
        <v>250.23</v>
      </c>
      <c r="M292" t="s">
        <v>22</v>
      </c>
      <c r="N292" t="s">
        <v>32</v>
      </c>
    </row>
    <row r="293" spans="1:14">
      <c r="A293" t="s">
        <v>434</v>
      </c>
      <c r="B293" s="1">
        <v>45266</v>
      </c>
      <c r="C293" t="s">
        <v>132</v>
      </c>
      <c r="D293" t="s">
        <v>133</v>
      </c>
      <c r="E293" t="s">
        <v>98</v>
      </c>
      <c r="F293" t="s">
        <v>68</v>
      </c>
      <c r="G293" t="s">
        <v>69</v>
      </c>
      <c r="H293" t="s">
        <v>109</v>
      </c>
      <c r="I293" t="s">
        <v>31</v>
      </c>
      <c r="J293">
        <v>98982</v>
      </c>
      <c r="K293">
        <v>2</v>
      </c>
      <c r="L293">
        <v>0</v>
      </c>
      <c r="M293" t="s">
        <v>90</v>
      </c>
      <c r="N293" t="s">
        <v>23</v>
      </c>
    </row>
    <row r="294" spans="1:14">
      <c r="A294" t="s">
        <v>435</v>
      </c>
      <c r="B294" s="1">
        <v>45085</v>
      </c>
      <c r="C294" t="s">
        <v>113</v>
      </c>
      <c r="D294" t="s">
        <v>114</v>
      </c>
      <c r="E294" t="s">
        <v>27</v>
      </c>
      <c r="F294" t="s">
        <v>28</v>
      </c>
      <c r="G294" t="s">
        <v>29</v>
      </c>
      <c r="H294" t="s">
        <v>105</v>
      </c>
      <c r="I294" t="s">
        <v>59</v>
      </c>
      <c r="J294">
        <v>24998</v>
      </c>
      <c r="K294">
        <v>2</v>
      </c>
      <c r="L294">
        <v>-2900</v>
      </c>
      <c r="M294" t="s">
        <v>22</v>
      </c>
      <c r="N294" t="s">
        <v>32</v>
      </c>
    </row>
    <row r="295" spans="1:14">
      <c r="A295" t="s">
        <v>436</v>
      </c>
      <c r="B295" s="1">
        <v>45238</v>
      </c>
      <c r="C295" t="s">
        <v>15</v>
      </c>
      <c r="D295" t="s">
        <v>16</v>
      </c>
      <c r="E295" t="s">
        <v>17</v>
      </c>
      <c r="F295" t="s">
        <v>18</v>
      </c>
      <c r="G295" t="s">
        <v>19</v>
      </c>
      <c r="H295" t="s">
        <v>126</v>
      </c>
      <c r="I295" t="s">
        <v>21</v>
      </c>
      <c r="J295">
        <v>75998.100000000006</v>
      </c>
      <c r="K295">
        <v>2</v>
      </c>
      <c r="L295">
        <v>6600.07</v>
      </c>
      <c r="M295" t="s">
        <v>40</v>
      </c>
      <c r="N295" t="s">
        <v>32</v>
      </c>
    </row>
    <row r="296" spans="1:14">
      <c r="A296" t="s">
        <v>437</v>
      </c>
      <c r="B296" s="1">
        <v>44940</v>
      </c>
      <c r="C296" t="s">
        <v>43</v>
      </c>
      <c r="D296" t="s">
        <v>44</v>
      </c>
      <c r="E296" t="s">
        <v>49</v>
      </c>
      <c r="F296" t="s">
        <v>49</v>
      </c>
      <c r="G296" t="s">
        <v>50</v>
      </c>
      <c r="H296" t="s">
        <v>126</v>
      </c>
      <c r="I296" t="s">
        <v>21</v>
      </c>
      <c r="J296">
        <v>151996.20000000001</v>
      </c>
      <c r="K296">
        <v>4</v>
      </c>
      <c r="L296">
        <v>13200.15</v>
      </c>
      <c r="M296" t="s">
        <v>22</v>
      </c>
      <c r="N296" t="s">
        <v>32</v>
      </c>
    </row>
    <row r="297" spans="1:14">
      <c r="A297" t="s">
        <v>438</v>
      </c>
      <c r="B297" s="1">
        <v>45056</v>
      </c>
      <c r="C297" t="s">
        <v>15</v>
      </c>
      <c r="D297" t="s">
        <v>16</v>
      </c>
      <c r="E297" t="s">
        <v>103</v>
      </c>
      <c r="F297" t="s">
        <v>104</v>
      </c>
      <c r="G297" t="s">
        <v>19</v>
      </c>
      <c r="H297" t="s">
        <v>92</v>
      </c>
      <c r="I297" t="s">
        <v>93</v>
      </c>
      <c r="J297">
        <v>5997.6</v>
      </c>
      <c r="K297">
        <v>3</v>
      </c>
      <c r="L297">
        <v>825.45</v>
      </c>
      <c r="M297" t="s">
        <v>90</v>
      </c>
      <c r="N297" t="s">
        <v>130</v>
      </c>
    </row>
    <row r="298" spans="1:14">
      <c r="A298" t="s">
        <v>439</v>
      </c>
      <c r="B298" s="1">
        <v>45253</v>
      </c>
      <c r="C298" t="s">
        <v>47</v>
      </c>
      <c r="D298" t="s">
        <v>48</v>
      </c>
      <c r="E298" t="s">
        <v>124</v>
      </c>
      <c r="F298" t="s">
        <v>125</v>
      </c>
      <c r="G298" t="s">
        <v>50</v>
      </c>
      <c r="H298" t="s">
        <v>105</v>
      </c>
      <c r="I298" t="s">
        <v>59</v>
      </c>
      <c r="J298">
        <v>11249.1</v>
      </c>
      <c r="K298">
        <v>1</v>
      </c>
      <c r="L298">
        <v>-2387.4299999999998</v>
      </c>
      <c r="M298" t="s">
        <v>63</v>
      </c>
      <c r="N298" t="s">
        <v>32</v>
      </c>
    </row>
    <row r="299" spans="1:14">
      <c r="A299" t="s">
        <v>440</v>
      </c>
      <c r="B299" s="1">
        <v>45023</v>
      </c>
      <c r="C299" t="s">
        <v>145</v>
      </c>
      <c r="D299" t="s">
        <v>146</v>
      </c>
      <c r="E299" t="s">
        <v>36</v>
      </c>
      <c r="F299" t="s">
        <v>37</v>
      </c>
      <c r="G299" t="s">
        <v>19</v>
      </c>
      <c r="H299" t="s">
        <v>45</v>
      </c>
      <c r="I299" t="s">
        <v>21</v>
      </c>
      <c r="J299">
        <v>5196</v>
      </c>
      <c r="K299">
        <v>4</v>
      </c>
      <c r="L299">
        <v>1280</v>
      </c>
      <c r="M299" t="s">
        <v>40</v>
      </c>
      <c r="N299" t="s">
        <v>130</v>
      </c>
    </row>
    <row r="300" spans="1:14">
      <c r="A300" t="s">
        <v>441</v>
      </c>
      <c r="B300" s="1">
        <v>45222</v>
      </c>
      <c r="C300" t="s">
        <v>275</v>
      </c>
      <c r="D300" t="s">
        <v>276</v>
      </c>
      <c r="E300" t="s">
        <v>56</v>
      </c>
      <c r="F300" t="s">
        <v>57</v>
      </c>
      <c r="G300" t="s">
        <v>50</v>
      </c>
      <c r="H300" t="s">
        <v>74</v>
      </c>
      <c r="I300" t="s">
        <v>31</v>
      </c>
      <c r="J300">
        <v>124768</v>
      </c>
      <c r="K300">
        <v>4</v>
      </c>
      <c r="L300">
        <v>-6994</v>
      </c>
      <c r="M300" t="s">
        <v>90</v>
      </c>
      <c r="N300" t="s">
        <v>32</v>
      </c>
    </row>
    <row r="301" spans="1:14">
      <c r="A301" t="s">
        <v>442</v>
      </c>
      <c r="B301" s="1">
        <v>45136</v>
      </c>
      <c r="C301" t="s">
        <v>160</v>
      </c>
      <c r="D301" t="s">
        <v>161</v>
      </c>
      <c r="E301" t="s">
        <v>67</v>
      </c>
      <c r="F301" t="s">
        <v>68</v>
      </c>
      <c r="G301" t="s">
        <v>69</v>
      </c>
      <c r="H301" t="s">
        <v>38</v>
      </c>
      <c r="I301" t="s">
        <v>39</v>
      </c>
      <c r="J301">
        <v>1896.2</v>
      </c>
      <c r="K301">
        <v>4</v>
      </c>
      <c r="L301">
        <v>565.15</v>
      </c>
      <c r="M301" t="s">
        <v>40</v>
      </c>
      <c r="N301" t="s">
        <v>32</v>
      </c>
    </row>
    <row r="302" spans="1:14">
      <c r="A302" t="s">
        <v>443</v>
      </c>
      <c r="B302" s="1">
        <v>45160</v>
      </c>
      <c r="C302" t="s">
        <v>132</v>
      </c>
      <c r="D302" t="s">
        <v>133</v>
      </c>
      <c r="E302" t="s">
        <v>124</v>
      </c>
      <c r="F302" t="s">
        <v>125</v>
      </c>
      <c r="G302" t="s">
        <v>50</v>
      </c>
      <c r="H302" t="s">
        <v>92</v>
      </c>
      <c r="I302" t="s">
        <v>93</v>
      </c>
      <c r="J302">
        <v>9996</v>
      </c>
      <c r="K302">
        <v>4</v>
      </c>
      <c r="L302">
        <v>2600</v>
      </c>
      <c r="M302" t="s">
        <v>22</v>
      </c>
      <c r="N302" t="s">
        <v>32</v>
      </c>
    </row>
    <row r="303" spans="1:14">
      <c r="A303" t="s">
        <v>444</v>
      </c>
      <c r="B303" s="1">
        <v>45220</v>
      </c>
      <c r="C303" t="s">
        <v>145</v>
      </c>
      <c r="D303" t="s">
        <v>146</v>
      </c>
      <c r="E303" t="s">
        <v>49</v>
      </c>
      <c r="F303" t="s">
        <v>49</v>
      </c>
      <c r="G303" t="s">
        <v>50</v>
      </c>
      <c r="H303" t="s">
        <v>189</v>
      </c>
      <c r="I303" t="s">
        <v>59</v>
      </c>
      <c r="J303">
        <v>3700</v>
      </c>
      <c r="K303">
        <v>2</v>
      </c>
      <c r="L303">
        <v>-555</v>
      </c>
      <c r="M303" t="s">
        <v>22</v>
      </c>
      <c r="N303" t="s">
        <v>75</v>
      </c>
    </row>
    <row r="304" spans="1:14">
      <c r="A304" t="s">
        <v>445</v>
      </c>
      <c r="B304" s="1">
        <v>45139</v>
      </c>
      <c r="C304" t="s">
        <v>275</v>
      </c>
      <c r="D304" t="s">
        <v>276</v>
      </c>
      <c r="E304" t="s">
        <v>95</v>
      </c>
      <c r="F304" t="s">
        <v>96</v>
      </c>
      <c r="G304" t="s">
        <v>19</v>
      </c>
      <c r="H304" t="s">
        <v>99</v>
      </c>
      <c r="I304" t="s">
        <v>21</v>
      </c>
      <c r="J304">
        <v>679.15</v>
      </c>
      <c r="K304">
        <v>1</v>
      </c>
      <c r="L304">
        <v>160.11000000000001</v>
      </c>
      <c r="M304" t="s">
        <v>22</v>
      </c>
      <c r="N304" t="s">
        <v>41</v>
      </c>
    </row>
    <row r="305" spans="1:14">
      <c r="A305" t="s">
        <v>446</v>
      </c>
      <c r="B305" s="1">
        <v>45074</v>
      </c>
      <c r="C305" t="s">
        <v>145</v>
      </c>
      <c r="D305" t="s">
        <v>146</v>
      </c>
      <c r="E305" t="s">
        <v>27</v>
      </c>
      <c r="F305" t="s">
        <v>28</v>
      </c>
      <c r="G305" t="s">
        <v>29</v>
      </c>
      <c r="H305" t="s">
        <v>105</v>
      </c>
      <c r="I305" t="s">
        <v>59</v>
      </c>
      <c r="J305">
        <v>31872.45</v>
      </c>
      <c r="K305">
        <v>3</v>
      </c>
      <c r="L305">
        <v>-8568.41</v>
      </c>
      <c r="M305" t="s">
        <v>40</v>
      </c>
      <c r="N305" t="s">
        <v>32</v>
      </c>
    </row>
    <row r="306" spans="1:14">
      <c r="A306" t="s">
        <v>447</v>
      </c>
      <c r="B306" s="1">
        <v>45139</v>
      </c>
      <c r="C306" t="s">
        <v>175</v>
      </c>
      <c r="D306" t="s">
        <v>176</v>
      </c>
      <c r="E306" t="s">
        <v>141</v>
      </c>
      <c r="F306" t="s">
        <v>142</v>
      </c>
      <c r="G306" t="s">
        <v>50</v>
      </c>
      <c r="H306" t="s">
        <v>215</v>
      </c>
      <c r="I306" t="s">
        <v>59</v>
      </c>
      <c r="J306">
        <v>25996</v>
      </c>
      <c r="K306">
        <v>4</v>
      </c>
      <c r="L306">
        <v>3800</v>
      </c>
      <c r="M306" t="s">
        <v>22</v>
      </c>
      <c r="N306" t="s">
        <v>32</v>
      </c>
    </row>
    <row r="307" spans="1:14">
      <c r="A307" t="s">
        <v>448</v>
      </c>
      <c r="B307" s="1">
        <v>44979</v>
      </c>
      <c r="C307" t="s">
        <v>54</v>
      </c>
      <c r="D307" t="s">
        <v>55</v>
      </c>
      <c r="E307" t="s">
        <v>87</v>
      </c>
      <c r="F307" t="s">
        <v>88</v>
      </c>
      <c r="G307" t="s">
        <v>29</v>
      </c>
      <c r="H307" t="s">
        <v>189</v>
      </c>
      <c r="I307" t="s">
        <v>59</v>
      </c>
      <c r="J307">
        <v>1480</v>
      </c>
      <c r="K307">
        <v>1</v>
      </c>
      <c r="L307">
        <v>62.5</v>
      </c>
      <c r="M307" t="s">
        <v>22</v>
      </c>
      <c r="N307" t="s">
        <v>32</v>
      </c>
    </row>
    <row r="308" spans="1:14">
      <c r="A308" t="s">
        <v>449</v>
      </c>
      <c r="B308" s="1">
        <v>45214</v>
      </c>
      <c r="C308" t="s">
        <v>101</v>
      </c>
      <c r="D308" t="s">
        <v>102</v>
      </c>
      <c r="E308" t="s">
        <v>87</v>
      </c>
      <c r="F308" t="s">
        <v>88</v>
      </c>
      <c r="G308" t="s">
        <v>29</v>
      </c>
      <c r="H308" t="s">
        <v>115</v>
      </c>
      <c r="I308" t="s">
        <v>93</v>
      </c>
      <c r="J308">
        <v>1199</v>
      </c>
      <c r="K308">
        <v>1</v>
      </c>
      <c r="L308">
        <v>290</v>
      </c>
      <c r="M308" t="s">
        <v>40</v>
      </c>
      <c r="N308" t="s">
        <v>32</v>
      </c>
    </row>
    <row r="309" spans="1:14">
      <c r="A309" t="s">
        <v>450</v>
      </c>
      <c r="B309" s="1">
        <v>45091</v>
      </c>
      <c r="C309" t="s">
        <v>170</v>
      </c>
      <c r="D309" t="s">
        <v>171</v>
      </c>
      <c r="E309" t="s">
        <v>56</v>
      </c>
      <c r="F309" t="s">
        <v>57</v>
      </c>
      <c r="G309" t="s">
        <v>50</v>
      </c>
      <c r="H309" t="s">
        <v>92</v>
      </c>
      <c r="I309" t="s">
        <v>93</v>
      </c>
      <c r="J309">
        <v>8496.6</v>
      </c>
      <c r="K309">
        <v>4</v>
      </c>
      <c r="L309">
        <v>1475.45</v>
      </c>
      <c r="M309" t="s">
        <v>22</v>
      </c>
      <c r="N309" t="s">
        <v>32</v>
      </c>
    </row>
    <row r="310" spans="1:14">
      <c r="A310" t="s">
        <v>451</v>
      </c>
      <c r="B310" s="1">
        <v>44983</v>
      </c>
      <c r="C310" t="s">
        <v>132</v>
      </c>
      <c r="D310" t="s">
        <v>133</v>
      </c>
      <c r="E310" t="s">
        <v>157</v>
      </c>
      <c r="F310" t="s">
        <v>158</v>
      </c>
      <c r="G310" t="s">
        <v>29</v>
      </c>
      <c r="H310" t="s">
        <v>177</v>
      </c>
      <c r="I310" t="s">
        <v>93</v>
      </c>
      <c r="J310">
        <v>5396.4</v>
      </c>
      <c r="K310">
        <v>4</v>
      </c>
      <c r="L310">
        <v>1070.3</v>
      </c>
      <c r="M310" t="s">
        <v>63</v>
      </c>
      <c r="N310" t="s">
        <v>32</v>
      </c>
    </row>
    <row r="311" spans="1:14">
      <c r="A311" t="s">
        <v>452</v>
      </c>
      <c r="B311" s="1">
        <v>44999</v>
      </c>
      <c r="C311" t="s">
        <v>65</v>
      </c>
      <c r="D311" t="s">
        <v>66</v>
      </c>
      <c r="E311" t="s">
        <v>135</v>
      </c>
      <c r="F311" t="s">
        <v>136</v>
      </c>
      <c r="G311" t="s">
        <v>69</v>
      </c>
      <c r="H311" t="s">
        <v>215</v>
      </c>
      <c r="I311" t="s">
        <v>59</v>
      </c>
      <c r="J311">
        <v>10398.4</v>
      </c>
      <c r="K311">
        <v>2</v>
      </c>
      <c r="L311">
        <v>-49.7</v>
      </c>
      <c r="M311" t="s">
        <v>63</v>
      </c>
      <c r="N311" t="s">
        <v>32</v>
      </c>
    </row>
    <row r="312" spans="1:14">
      <c r="A312" t="s">
        <v>453</v>
      </c>
      <c r="B312" s="1">
        <v>45044</v>
      </c>
      <c r="C312" t="s">
        <v>175</v>
      </c>
      <c r="D312" t="s">
        <v>176</v>
      </c>
      <c r="E312" t="s">
        <v>84</v>
      </c>
      <c r="F312" t="s">
        <v>85</v>
      </c>
      <c r="G312" t="s">
        <v>69</v>
      </c>
      <c r="H312" t="s">
        <v>177</v>
      </c>
      <c r="I312" t="s">
        <v>93</v>
      </c>
      <c r="J312">
        <v>3822.45</v>
      </c>
      <c r="K312">
        <v>3</v>
      </c>
      <c r="L312">
        <v>-573.37</v>
      </c>
      <c r="M312" t="s">
        <v>22</v>
      </c>
      <c r="N312" t="s">
        <v>75</v>
      </c>
    </row>
    <row r="313" spans="1:14">
      <c r="A313" t="s">
        <v>454</v>
      </c>
      <c r="B313" s="1">
        <v>45055</v>
      </c>
      <c r="C313" t="s">
        <v>220</v>
      </c>
      <c r="D313" t="s">
        <v>221</v>
      </c>
      <c r="E313" t="s">
        <v>27</v>
      </c>
      <c r="F313" t="s">
        <v>28</v>
      </c>
      <c r="G313" t="s">
        <v>29</v>
      </c>
      <c r="H313" t="s">
        <v>89</v>
      </c>
      <c r="I313" t="s">
        <v>21</v>
      </c>
      <c r="J313">
        <v>3418.1</v>
      </c>
      <c r="K313">
        <v>2</v>
      </c>
      <c r="L313">
        <v>625.08000000000004</v>
      </c>
      <c r="M313" t="s">
        <v>22</v>
      </c>
      <c r="N313" t="s">
        <v>32</v>
      </c>
    </row>
    <row r="314" spans="1:14">
      <c r="A314" t="s">
        <v>455</v>
      </c>
      <c r="B314" s="1">
        <v>45056</v>
      </c>
      <c r="C314" t="s">
        <v>113</v>
      </c>
      <c r="D314" t="s">
        <v>114</v>
      </c>
      <c r="E314" t="s">
        <v>27</v>
      </c>
      <c r="F314" t="s">
        <v>28</v>
      </c>
      <c r="G314" t="s">
        <v>29</v>
      </c>
      <c r="H314" t="s">
        <v>177</v>
      </c>
      <c r="I314" t="s">
        <v>93</v>
      </c>
      <c r="J314">
        <v>4497</v>
      </c>
      <c r="K314">
        <v>3</v>
      </c>
      <c r="L314">
        <v>0</v>
      </c>
      <c r="M314" t="s">
        <v>40</v>
      </c>
      <c r="N314" t="s">
        <v>23</v>
      </c>
    </row>
    <row r="315" spans="1:14">
      <c r="A315" t="s">
        <v>456</v>
      </c>
      <c r="B315" s="1">
        <v>45248</v>
      </c>
      <c r="C315" t="s">
        <v>101</v>
      </c>
      <c r="D315" t="s">
        <v>102</v>
      </c>
      <c r="E315" t="s">
        <v>27</v>
      </c>
      <c r="F315" t="s">
        <v>28</v>
      </c>
      <c r="G315" t="s">
        <v>29</v>
      </c>
      <c r="H315" t="s">
        <v>38</v>
      </c>
      <c r="I315" t="s">
        <v>39</v>
      </c>
      <c r="J315">
        <v>998</v>
      </c>
      <c r="K315">
        <v>2</v>
      </c>
      <c r="L315">
        <v>320</v>
      </c>
      <c r="M315" t="s">
        <v>90</v>
      </c>
      <c r="N315" t="s">
        <v>32</v>
      </c>
    </row>
    <row r="316" spans="1:14">
      <c r="A316" t="s">
        <v>457</v>
      </c>
      <c r="B316" s="1">
        <v>45198</v>
      </c>
      <c r="C316" t="s">
        <v>170</v>
      </c>
      <c r="D316" t="s">
        <v>171</v>
      </c>
      <c r="E316" t="s">
        <v>49</v>
      </c>
      <c r="F316" t="s">
        <v>49</v>
      </c>
      <c r="G316" t="s">
        <v>50</v>
      </c>
      <c r="H316" t="s">
        <v>117</v>
      </c>
      <c r="I316" t="s">
        <v>93</v>
      </c>
      <c r="J316">
        <v>2184.0500000000002</v>
      </c>
      <c r="K316">
        <v>1</v>
      </c>
      <c r="L316">
        <v>-266.20999999999998</v>
      </c>
      <c r="M316" t="s">
        <v>63</v>
      </c>
      <c r="N316" t="s">
        <v>32</v>
      </c>
    </row>
    <row r="317" spans="1:14">
      <c r="A317" t="s">
        <v>458</v>
      </c>
      <c r="B317" s="1">
        <v>45286</v>
      </c>
      <c r="C317" t="s">
        <v>61</v>
      </c>
      <c r="D317" t="s">
        <v>62</v>
      </c>
      <c r="E317" t="s">
        <v>17</v>
      </c>
      <c r="F317" t="s">
        <v>18</v>
      </c>
      <c r="G317" t="s">
        <v>19</v>
      </c>
      <c r="H317" t="s">
        <v>105</v>
      </c>
      <c r="I317" t="s">
        <v>59</v>
      </c>
      <c r="J317">
        <v>19998.400000000001</v>
      </c>
      <c r="K317">
        <v>2</v>
      </c>
      <c r="L317">
        <v>-6649.7</v>
      </c>
      <c r="M317" t="s">
        <v>22</v>
      </c>
      <c r="N317" t="s">
        <v>32</v>
      </c>
    </row>
    <row r="318" spans="1:14">
      <c r="A318" t="s">
        <v>459</v>
      </c>
      <c r="B318" s="1">
        <v>45262</v>
      </c>
      <c r="C318" t="s">
        <v>170</v>
      </c>
      <c r="D318" t="s">
        <v>171</v>
      </c>
      <c r="E318" t="s">
        <v>36</v>
      </c>
      <c r="F318" t="s">
        <v>37</v>
      </c>
      <c r="G318" t="s">
        <v>19</v>
      </c>
      <c r="H318" t="s">
        <v>154</v>
      </c>
      <c r="I318" t="s">
        <v>93</v>
      </c>
      <c r="J318">
        <v>5180</v>
      </c>
      <c r="K318">
        <v>4</v>
      </c>
      <c r="L318">
        <v>1240</v>
      </c>
      <c r="M318" t="s">
        <v>22</v>
      </c>
      <c r="N318" t="s">
        <v>41</v>
      </c>
    </row>
    <row r="319" spans="1:14">
      <c r="A319" t="s">
        <v>460</v>
      </c>
      <c r="B319" s="1">
        <v>45060</v>
      </c>
      <c r="C319" t="s">
        <v>54</v>
      </c>
      <c r="D319" t="s">
        <v>55</v>
      </c>
      <c r="E319" t="s">
        <v>87</v>
      </c>
      <c r="F319" t="s">
        <v>88</v>
      </c>
      <c r="G319" t="s">
        <v>29</v>
      </c>
      <c r="H319" t="s">
        <v>215</v>
      </c>
      <c r="I319" t="s">
        <v>59</v>
      </c>
      <c r="J319">
        <v>23396.400000000001</v>
      </c>
      <c r="K319">
        <v>4</v>
      </c>
      <c r="L319">
        <v>1850.3</v>
      </c>
      <c r="M319" t="s">
        <v>90</v>
      </c>
      <c r="N319" t="s">
        <v>32</v>
      </c>
    </row>
    <row r="320" spans="1:14">
      <c r="A320" t="s">
        <v>461</v>
      </c>
      <c r="B320" s="1">
        <v>45179</v>
      </c>
      <c r="C320" t="s">
        <v>220</v>
      </c>
      <c r="D320" t="s">
        <v>221</v>
      </c>
      <c r="E320" t="s">
        <v>67</v>
      </c>
      <c r="F320" t="s">
        <v>68</v>
      </c>
      <c r="G320" t="s">
        <v>69</v>
      </c>
      <c r="H320" t="s">
        <v>137</v>
      </c>
      <c r="I320" t="s">
        <v>93</v>
      </c>
      <c r="J320">
        <v>5370</v>
      </c>
      <c r="K320">
        <v>3</v>
      </c>
      <c r="L320">
        <v>1170</v>
      </c>
      <c r="M320" t="s">
        <v>22</v>
      </c>
      <c r="N320" t="s">
        <v>32</v>
      </c>
    </row>
    <row r="321" spans="1:14">
      <c r="A321" t="s">
        <v>462</v>
      </c>
      <c r="B321" s="1">
        <v>45257</v>
      </c>
      <c r="C321" t="s">
        <v>15</v>
      </c>
      <c r="D321" t="s">
        <v>16</v>
      </c>
      <c r="E321" t="s">
        <v>84</v>
      </c>
      <c r="F321" t="s">
        <v>85</v>
      </c>
      <c r="G321" t="s">
        <v>69</v>
      </c>
      <c r="H321" t="s">
        <v>164</v>
      </c>
      <c r="I321" t="s">
        <v>39</v>
      </c>
      <c r="J321">
        <v>5096.6000000000004</v>
      </c>
      <c r="K321">
        <v>4</v>
      </c>
      <c r="L321">
        <v>-764.49</v>
      </c>
      <c r="M321" t="s">
        <v>22</v>
      </c>
      <c r="N321" t="s">
        <v>75</v>
      </c>
    </row>
    <row r="322" spans="1:14">
      <c r="A322" t="s">
        <v>463</v>
      </c>
      <c r="B322" s="1">
        <v>44949</v>
      </c>
      <c r="C322" t="s">
        <v>43</v>
      </c>
      <c r="D322" t="s">
        <v>44</v>
      </c>
      <c r="E322" t="s">
        <v>98</v>
      </c>
      <c r="F322" t="s">
        <v>68</v>
      </c>
      <c r="G322" t="s">
        <v>69</v>
      </c>
      <c r="H322" t="s">
        <v>230</v>
      </c>
      <c r="I322" t="s">
        <v>39</v>
      </c>
      <c r="J322">
        <v>1298</v>
      </c>
      <c r="K322">
        <v>2</v>
      </c>
      <c r="L322">
        <v>-194.7</v>
      </c>
      <c r="M322" t="s">
        <v>22</v>
      </c>
      <c r="N322" t="s">
        <v>75</v>
      </c>
    </row>
    <row r="323" spans="1:14">
      <c r="A323" t="s">
        <v>464</v>
      </c>
      <c r="B323" s="1">
        <v>44956</v>
      </c>
      <c r="C323" t="s">
        <v>72</v>
      </c>
      <c r="D323" t="s">
        <v>73</v>
      </c>
      <c r="E323" t="s">
        <v>157</v>
      </c>
      <c r="F323" t="s">
        <v>158</v>
      </c>
      <c r="G323" t="s">
        <v>29</v>
      </c>
      <c r="H323" t="s">
        <v>51</v>
      </c>
      <c r="I323" t="s">
        <v>31</v>
      </c>
      <c r="J323">
        <v>21597.599999999999</v>
      </c>
      <c r="K323">
        <v>3</v>
      </c>
      <c r="L323">
        <v>-449.55</v>
      </c>
      <c r="M323" t="s">
        <v>90</v>
      </c>
      <c r="N323" t="s">
        <v>32</v>
      </c>
    </row>
    <row r="324" spans="1:14">
      <c r="A324" t="s">
        <v>465</v>
      </c>
      <c r="B324" s="1">
        <v>45140</v>
      </c>
      <c r="C324" t="s">
        <v>145</v>
      </c>
      <c r="D324" t="s">
        <v>146</v>
      </c>
      <c r="E324" t="s">
        <v>87</v>
      </c>
      <c r="F324" t="s">
        <v>88</v>
      </c>
      <c r="G324" t="s">
        <v>29</v>
      </c>
      <c r="H324" t="s">
        <v>215</v>
      </c>
      <c r="I324" t="s">
        <v>59</v>
      </c>
      <c r="J324">
        <v>12348.1</v>
      </c>
      <c r="K324">
        <v>2</v>
      </c>
      <c r="L324">
        <v>1412.57</v>
      </c>
      <c r="M324" t="s">
        <v>90</v>
      </c>
      <c r="N324" t="s">
        <v>41</v>
      </c>
    </row>
    <row r="325" spans="1:14">
      <c r="A325" t="s">
        <v>466</v>
      </c>
      <c r="B325" s="1">
        <v>45279</v>
      </c>
      <c r="C325" t="s">
        <v>202</v>
      </c>
      <c r="D325" t="s">
        <v>203</v>
      </c>
      <c r="E325" t="s">
        <v>49</v>
      </c>
      <c r="F325" t="s">
        <v>49</v>
      </c>
      <c r="G325" t="s">
        <v>50</v>
      </c>
      <c r="H325" t="s">
        <v>117</v>
      </c>
      <c r="I325" t="s">
        <v>93</v>
      </c>
      <c r="J325">
        <v>6897</v>
      </c>
      <c r="K325">
        <v>3</v>
      </c>
      <c r="L325">
        <v>-540</v>
      </c>
      <c r="M325" t="s">
        <v>90</v>
      </c>
      <c r="N325" t="s">
        <v>41</v>
      </c>
    </row>
    <row r="326" spans="1:14">
      <c r="A326" t="s">
        <v>467</v>
      </c>
      <c r="B326" s="1">
        <v>45016</v>
      </c>
      <c r="C326" t="s">
        <v>122</v>
      </c>
      <c r="D326" t="s">
        <v>123</v>
      </c>
      <c r="E326" t="s">
        <v>87</v>
      </c>
      <c r="F326" t="s">
        <v>88</v>
      </c>
      <c r="G326" t="s">
        <v>29</v>
      </c>
      <c r="H326" t="s">
        <v>89</v>
      </c>
      <c r="I326" t="s">
        <v>21</v>
      </c>
      <c r="J326">
        <v>1799</v>
      </c>
      <c r="K326">
        <v>1</v>
      </c>
      <c r="L326">
        <v>380</v>
      </c>
      <c r="M326" t="s">
        <v>22</v>
      </c>
      <c r="N326" t="s">
        <v>32</v>
      </c>
    </row>
    <row r="327" spans="1:14">
      <c r="A327" t="s">
        <v>468</v>
      </c>
      <c r="B327" s="1">
        <v>44988</v>
      </c>
      <c r="C327" t="s">
        <v>101</v>
      </c>
      <c r="D327" t="s">
        <v>102</v>
      </c>
      <c r="E327" t="s">
        <v>17</v>
      </c>
      <c r="F327" t="s">
        <v>18</v>
      </c>
      <c r="G327" t="s">
        <v>19</v>
      </c>
      <c r="H327" t="s">
        <v>38</v>
      </c>
      <c r="I327" t="s">
        <v>39</v>
      </c>
      <c r="J327">
        <v>1596.8</v>
      </c>
      <c r="K327">
        <v>4</v>
      </c>
      <c r="L327">
        <v>340.6</v>
      </c>
      <c r="M327" t="s">
        <v>90</v>
      </c>
      <c r="N327" t="s">
        <v>32</v>
      </c>
    </row>
    <row r="328" spans="1:14">
      <c r="A328" t="s">
        <v>469</v>
      </c>
      <c r="B328" s="1">
        <v>45027</v>
      </c>
      <c r="C328" t="s">
        <v>227</v>
      </c>
      <c r="D328" t="s">
        <v>228</v>
      </c>
      <c r="E328" t="s">
        <v>27</v>
      </c>
      <c r="F328" t="s">
        <v>28</v>
      </c>
      <c r="G328" t="s">
        <v>29</v>
      </c>
      <c r="H328" t="s">
        <v>230</v>
      </c>
      <c r="I328" t="s">
        <v>39</v>
      </c>
      <c r="J328">
        <v>616.54999999999995</v>
      </c>
      <c r="K328">
        <v>1</v>
      </c>
      <c r="L328">
        <v>-92.48</v>
      </c>
      <c r="M328" t="s">
        <v>90</v>
      </c>
      <c r="N328" t="s">
        <v>75</v>
      </c>
    </row>
    <row r="329" spans="1:14">
      <c r="A329" t="s">
        <v>470</v>
      </c>
      <c r="B329" s="1">
        <v>45161</v>
      </c>
      <c r="C329" t="s">
        <v>81</v>
      </c>
      <c r="D329" t="s">
        <v>82</v>
      </c>
      <c r="E329" t="s">
        <v>157</v>
      </c>
      <c r="F329" t="s">
        <v>158</v>
      </c>
      <c r="G329" t="s">
        <v>29</v>
      </c>
      <c r="H329" t="s">
        <v>79</v>
      </c>
      <c r="I329" t="s">
        <v>31</v>
      </c>
      <c r="J329">
        <v>41990</v>
      </c>
      <c r="K329">
        <v>1</v>
      </c>
      <c r="L329">
        <v>-6298.5</v>
      </c>
      <c r="M329" t="s">
        <v>22</v>
      </c>
      <c r="N329" t="s">
        <v>75</v>
      </c>
    </row>
    <row r="330" spans="1:14">
      <c r="A330" t="s">
        <v>471</v>
      </c>
      <c r="B330" s="1">
        <v>45198</v>
      </c>
      <c r="C330" t="s">
        <v>119</v>
      </c>
      <c r="D330" t="s">
        <v>120</v>
      </c>
      <c r="E330" t="s">
        <v>135</v>
      </c>
      <c r="F330" t="s">
        <v>136</v>
      </c>
      <c r="G330" t="s">
        <v>69</v>
      </c>
      <c r="H330" t="s">
        <v>51</v>
      </c>
      <c r="I330" t="s">
        <v>31</v>
      </c>
      <c r="J330">
        <v>17998</v>
      </c>
      <c r="K330">
        <v>2</v>
      </c>
      <c r="L330">
        <v>2400</v>
      </c>
      <c r="M330" t="s">
        <v>22</v>
      </c>
      <c r="N330" t="s">
        <v>32</v>
      </c>
    </row>
    <row r="331" spans="1:14">
      <c r="A331" t="s">
        <v>472</v>
      </c>
      <c r="B331" s="1">
        <v>44969</v>
      </c>
      <c r="C331" t="s">
        <v>54</v>
      </c>
      <c r="D331" t="s">
        <v>55</v>
      </c>
      <c r="E331" t="s">
        <v>84</v>
      </c>
      <c r="F331" t="s">
        <v>85</v>
      </c>
      <c r="G331" t="s">
        <v>69</v>
      </c>
      <c r="H331" t="s">
        <v>109</v>
      </c>
      <c r="I331" t="s">
        <v>31</v>
      </c>
      <c r="J331">
        <v>52240.5</v>
      </c>
      <c r="K331">
        <v>1</v>
      </c>
      <c r="L331">
        <v>3737.88</v>
      </c>
      <c r="M331" t="s">
        <v>40</v>
      </c>
      <c r="N331" t="s">
        <v>32</v>
      </c>
    </row>
    <row r="332" spans="1:14">
      <c r="A332" t="s">
        <v>473</v>
      </c>
      <c r="B332" s="1">
        <v>44958</v>
      </c>
      <c r="C332" t="s">
        <v>34</v>
      </c>
      <c r="D332" t="s">
        <v>35</v>
      </c>
      <c r="E332" t="s">
        <v>27</v>
      </c>
      <c r="F332" t="s">
        <v>28</v>
      </c>
      <c r="G332" t="s">
        <v>29</v>
      </c>
      <c r="H332" t="s">
        <v>30</v>
      </c>
      <c r="I332" t="s">
        <v>31</v>
      </c>
      <c r="J332">
        <v>2547</v>
      </c>
      <c r="K332">
        <v>3</v>
      </c>
      <c r="L332">
        <v>630</v>
      </c>
      <c r="M332" t="s">
        <v>52</v>
      </c>
      <c r="N332" t="s">
        <v>32</v>
      </c>
    </row>
    <row r="333" spans="1:14">
      <c r="A333" t="s">
        <v>474</v>
      </c>
      <c r="B333" s="1">
        <v>45084</v>
      </c>
      <c r="C333" t="s">
        <v>61</v>
      </c>
      <c r="D333" t="s">
        <v>62</v>
      </c>
      <c r="E333" t="s">
        <v>124</v>
      </c>
      <c r="F333" t="s">
        <v>125</v>
      </c>
      <c r="G333" t="s">
        <v>50</v>
      </c>
      <c r="H333" t="s">
        <v>230</v>
      </c>
      <c r="I333" t="s">
        <v>39</v>
      </c>
      <c r="J333">
        <v>649</v>
      </c>
      <c r="K333">
        <v>1</v>
      </c>
      <c r="L333">
        <v>220</v>
      </c>
      <c r="M333" t="s">
        <v>90</v>
      </c>
      <c r="N333" t="s">
        <v>32</v>
      </c>
    </row>
    <row r="334" spans="1:14">
      <c r="A334" t="s">
        <v>475</v>
      </c>
      <c r="B334" s="1">
        <v>45243</v>
      </c>
      <c r="C334" t="s">
        <v>54</v>
      </c>
      <c r="D334" t="s">
        <v>55</v>
      </c>
      <c r="E334" t="s">
        <v>95</v>
      </c>
      <c r="F334" t="s">
        <v>96</v>
      </c>
      <c r="G334" t="s">
        <v>19</v>
      </c>
      <c r="H334" t="s">
        <v>45</v>
      </c>
      <c r="I334" t="s">
        <v>21</v>
      </c>
      <c r="J334">
        <v>2208.3000000000002</v>
      </c>
      <c r="K334">
        <v>2</v>
      </c>
      <c r="L334">
        <v>0</v>
      </c>
      <c r="M334" t="s">
        <v>22</v>
      </c>
      <c r="N334" t="s">
        <v>23</v>
      </c>
    </row>
    <row r="335" spans="1:14">
      <c r="A335" t="s">
        <v>476</v>
      </c>
      <c r="B335" s="1">
        <v>44961</v>
      </c>
      <c r="C335" t="s">
        <v>220</v>
      </c>
      <c r="D335" t="s">
        <v>221</v>
      </c>
      <c r="E335" t="s">
        <v>157</v>
      </c>
      <c r="F335" t="s">
        <v>158</v>
      </c>
      <c r="G335" t="s">
        <v>29</v>
      </c>
      <c r="H335" t="s">
        <v>128</v>
      </c>
      <c r="I335" t="s">
        <v>31</v>
      </c>
      <c r="J335">
        <v>1196</v>
      </c>
      <c r="K335">
        <v>1</v>
      </c>
      <c r="L335">
        <v>125.75</v>
      </c>
      <c r="M335" t="s">
        <v>22</v>
      </c>
      <c r="N335" t="s">
        <v>32</v>
      </c>
    </row>
    <row r="336" spans="1:14">
      <c r="A336" t="s">
        <v>477</v>
      </c>
      <c r="B336" s="1">
        <v>45221</v>
      </c>
      <c r="C336" t="s">
        <v>34</v>
      </c>
      <c r="D336" t="s">
        <v>35</v>
      </c>
      <c r="E336" t="s">
        <v>84</v>
      </c>
      <c r="F336" t="s">
        <v>85</v>
      </c>
      <c r="G336" t="s">
        <v>69</v>
      </c>
      <c r="H336" t="s">
        <v>79</v>
      </c>
      <c r="I336" t="s">
        <v>31</v>
      </c>
      <c r="J336">
        <v>41990</v>
      </c>
      <c r="K336">
        <v>1</v>
      </c>
      <c r="L336">
        <v>4500</v>
      </c>
      <c r="M336" t="s">
        <v>63</v>
      </c>
      <c r="N336" t="s">
        <v>130</v>
      </c>
    </row>
    <row r="337" spans="1:14">
      <c r="A337" t="s">
        <v>478</v>
      </c>
      <c r="B337" s="1">
        <v>45178</v>
      </c>
      <c r="C337" t="s">
        <v>175</v>
      </c>
      <c r="D337" t="s">
        <v>176</v>
      </c>
      <c r="E337" t="s">
        <v>27</v>
      </c>
      <c r="F337" t="s">
        <v>28</v>
      </c>
      <c r="G337" t="s">
        <v>29</v>
      </c>
      <c r="H337" t="s">
        <v>147</v>
      </c>
      <c r="I337" t="s">
        <v>93</v>
      </c>
      <c r="J337">
        <v>5697.15</v>
      </c>
      <c r="K337">
        <v>3</v>
      </c>
      <c r="L337">
        <v>1335.11</v>
      </c>
      <c r="M337" t="s">
        <v>22</v>
      </c>
      <c r="N337" t="s">
        <v>41</v>
      </c>
    </row>
    <row r="338" spans="1:14">
      <c r="A338" t="s">
        <v>479</v>
      </c>
      <c r="B338" s="1">
        <v>45049</v>
      </c>
      <c r="C338" t="s">
        <v>202</v>
      </c>
      <c r="D338" t="s">
        <v>203</v>
      </c>
      <c r="E338" t="s">
        <v>84</v>
      </c>
      <c r="F338" t="s">
        <v>85</v>
      </c>
      <c r="G338" t="s">
        <v>69</v>
      </c>
      <c r="H338" t="s">
        <v>126</v>
      </c>
      <c r="I338" t="s">
        <v>21</v>
      </c>
      <c r="J338">
        <v>159996</v>
      </c>
      <c r="K338">
        <v>4</v>
      </c>
      <c r="L338">
        <v>19200</v>
      </c>
      <c r="M338" t="s">
        <v>40</v>
      </c>
      <c r="N338" t="s">
        <v>32</v>
      </c>
    </row>
    <row r="339" spans="1:14">
      <c r="A339" t="s">
        <v>480</v>
      </c>
      <c r="B339" s="1">
        <v>44959</v>
      </c>
      <c r="C339" t="s">
        <v>202</v>
      </c>
      <c r="D339" t="s">
        <v>203</v>
      </c>
      <c r="E339" t="s">
        <v>27</v>
      </c>
      <c r="F339" t="s">
        <v>28</v>
      </c>
      <c r="G339" t="s">
        <v>29</v>
      </c>
      <c r="H339" t="s">
        <v>79</v>
      </c>
      <c r="I339" t="s">
        <v>31</v>
      </c>
      <c r="J339">
        <v>119671.5</v>
      </c>
      <c r="K339">
        <v>3</v>
      </c>
      <c r="L339">
        <v>8776.1200000000008</v>
      </c>
      <c r="M339" t="s">
        <v>52</v>
      </c>
      <c r="N339" t="s">
        <v>32</v>
      </c>
    </row>
    <row r="340" spans="1:14">
      <c r="A340" t="s">
        <v>481</v>
      </c>
      <c r="B340" s="1">
        <v>45054</v>
      </c>
      <c r="C340" t="s">
        <v>132</v>
      </c>
      <c r="D340" t="s">
        <v>133</v>
      </c>
      <c r="E340" t="s">
        <v>124</v>
      </c>
      <c r="F340" t="s">
        <v>125</v>
      </c>
      <c r="G340" t="s">
        <v>50</v>
      </c>
      <c r="H340" t="s">
        <v>74</v>
      </c>
      <c r="I340" t="s">
        <v>31</v>
      </c>
      <c r="J340">
        <v>116970</v>
      </c>
      <c r="K340">
        <v>3</v>
      </c>
      <c r="L340">
        <v>12300</v>
      </c>
      <c r="M340" t="s">
        <v>22</v>
      </c>
      <c r="N340" t="s">
        <v>41</v>
      </c>
    </row>
    <row r="341" spans="1:14">
      <c r="A341" t="s">
        <v>482</v>
      </c>
      <c r="B341" s="1">
        <v>45128</v>
      </c>
      <c r="C341" t="s">
        <v>77</v>
      </c>
      <c r="D341" t="s">
        <v>78</v>
      </c>
      <c r="E341" t="s">
        <v>67</v>
      </c>
      <c r="F341" t="s">
        <v>68</v>
      </c>
      <c r="G341" t="s">
        <v>69</v>
      </c>
      <c r="H341" t="s">
        <v>38</v>
      </c>
      <c r="I341" t="s">
        <v>39</v>
      </c>
      <c r="J341">
        <v>1996</v>
      </c>
      <c r="K341">
        <v>4</v>
      </c>
      <c r="L341">
        <v>640</v>
      </c>
      <c r="M341" t="s">
        <v>22</v>
      </c>
      <c r="N341" t="s">
        <v>32</v>
      </c>
    </row>
    <row r="342" spans="1:14">
      <c r="A342" t="s">
        <v>483</v>
      </c>
      <c r="B342" s="1">
        <v>44938</v>
      </c>
      <c r="C342" t="s">
        <v>72</v>
      </c>
      <c r="D342" t="s">
        <v>73</v>
      </c>
      <c r="E342" t="s">
        <v>103</v>
      </c>
      <c r="F342" t="s">
        <v>104</v>
      </c>
      <c r="G342" t="s">
        <v>19</v>
      </c>
      <c r="H342" t="s">
        <v>261</v>
      </c>
      <c r="I342" t="s">
        <v>21</v>
      </c>
      <c r="J342">
        <v>56097.45</v>
      </c>
      <c r="K342">
        <v>3</v>
      </c>
      <c r="L342">
        <v>-224.66</v>
      </c>
      <c r="M342" t="s">
        <v>22</v>
      </c>
      <c r="N342" t="s">
        <v>32</v>
      </c>
    </row>
    <row r="343" spans="1:14">
      <c r="A343" t="s">
        <v>484</v>
      </c>
      <c r="B343" s="1">
        <v>45093</v>
      </c>
      <c r="C343" t="s">
        <v>43</v>
      </c>
      <c r="D343" t="s">
        <v>44</v>
      </c>
      <c r="E343" t="s">
        <v>95</v>
      </c>
      <c r="F343" t="s">
        <v>96</v>
      </c>
      <c r="G343" t="s">
        <v>19</v>
      </c>
      <c r="H343" t="s">
        <v>58</v>
      </c>
      <c r="I343" t="s">
        <v>59</v>
      </c>
      <c r="J343">
        <v>756</v>
      </c>
      <c r="K343">
        <v>1</v>
      </c>
      <c r="L343">
        <v>68.25</v>
      </c>
      <c r="M343" t="s">
        <v>52</v>
      </c>
      <c r="N343" t="s">
        <v>130</v>
      </c>
    </row>
    <row r="344" spans="1:14">
      <c r="A344" t="s">
        <v>485</v>
      </c>
      <c r="B344" s="1">
        <v>45211</v>
      </c>
      <c r="C344" t="s">
        <v>175</v>
      </c>
      <c r="D344" t="s">
        <v>176</v>
      </c>
      <c r="E344" t="s">
        <v>135</v>
      </c>
      <c r="F344" t="s">
        <v>136</v>
      </c>
      <c r="G344" t="s">
        <v>69</v>
      </c>
      <c r="H344" t="s">
        <v>58</v>
      </c>
      <c r="I344" t="s">
        <v>59</v>
      </c>
      <c r="J344">
        <v>3213</v>
      </c>
      <c r="K344">
        <v>4</v>
      </c>
      <c r="L344">
        <v>414.75</v>
      </c>
      <c r="M344" t="s">
        <v>90</v>
      </c>
      <c r="N344" t="s">
        <v>32</v>
      </c>
    </row>
    <row r="345" spans="1:14">
      <c r="A345" t="s">
        <v>486</v>
      </c>
      <c r="B345" s="1">
        <v>44974</v>
      </c>
      <c r="C345" t="s">
        <v>149</v>
      </c>
      <c r="D345" t="s">
        <v>150</v>
      </c>
      <c r="E345" t="s">
        <v>157</v>
      </c>
      <c r="F345" t="s">
        <v>158</v>
      </c>
      <c r="G345" t="s">
        <v>29</v>
      </c>
      <c r="H345" t="s">
        <v>99</v>
      </c>
      <c r="I345" t="s">
        <v>21</v>
      </c>
      <c r="J345">
        <v>719.1</v>
      </c>
      <c r="K345">
        <v>1</v>
      </c>
      <c r="L345">
        <v>190.07</v>
      </c>
      <c r="M345" t="s">
        <v>63</v>
      </c>
      <c r="N345" t="s">
        <v>130</v>
      </c>
    </row>
    <row r="346" spans="1:14">
      <c r="A346" t="s">
        <v>487</v>
      </c>
      <c r="B346" s="1">
        <v>45082</v>
      </c>
      <c r="C346" t="s">
        <v>101</v>
      </c>
      <c r="D346" t="s">
        <v>102</v>
      </c>
      <c r="E346" t="s">
        <v>36</v>
      </c>
      <c r="F346" t="s">
        <v>37</v>
      </c>
      <c r="G346" t="s">
        <v>19</v>
      </c>
      <c r="H346" t="s">
        <v>45</v>
      </c>
      <c r="I346" t="s">
        <v>21</v>
      </c>
      <c r="J346">
        <v>1169.0999999999999</v>
      </c>
      <c r="K346">
        <v>1</v>
      </c>
      <c r="L346">
        <v>222.57</v>
      </c>
      <c r="M346" t="s">
        <v>22</v>
      </c>
      <c r="N346" t="s">
        <v>32</v>
      </c>
    </row>
    <row r="347" spans="1:14">
      <c r="A347" t="s">
        <v>488</v>
      </c>
      <c r="B347" s="1">
        <v>45216</v>
      </c>
      <c r="C347" t="s">
        <v>145</v>
      </c>
      <c r="D347" t="s">
        <v>146</v>
      </c>
      <c r="E347" t="s">
        <v>157</v>
      </c>
      <c r="F347" t="s">
        <v>158</v>
      </c>
      <c r="G347" t="s">
        <v>29</v>
      </c>
      <c r="H347" t="s">
        <v>115</v>
      </c>
      <c r="I347" t="s">
        <v>93</v>
      </c>
      <c r="J347">
        <v>4076.6</v>
      </c>
      <c r="K347">
        <v>4</v>
      </c>
      <c r="L347">
        <v>620.45000000000005</v>
      </c>
      <c r="M347" t="s">
        <v>22</v>
      </c>
      <c r="N347" t="s">
        <v>32</v>
      </c>
    </row>
    <row r="348" spans="1:14">
      <c r="A348" t="s">
        <v>489</v>
      </c>
      <c r="B348" s="1">
        <v>45290</v>
      </c>
      <c r="C348" t="s">
        <v>47</v>
      </c>
      <c r="D348" t="s">
        <v>48</v>
      </c>
      <c r="E348" t="s">
        <v>56</v>
      </c>
      <c r="F348" t="s">
        <v>57</v>
      </c>
      <c r="G348" t="s">
        <v>50</v>
      </c>
      <c r="H348" t="s">
        <v>173</v>
      </c>
      <c r="I348" t="s">
        <v>59</v>
      </c>
      <c r="J348">
        <v>17196</v>
      </c>
      <c r="K348">
        <v>4</v>
      </c>
      <c r="L348">
        <v>2880</v>
      </c>
      <c r="M348" t="s">
        <v>63</v>
      </c>
      <c r="N348" t="s">
        <v>32</v>
      </c>
    </row>
    <row r="349" spans="1:14">
      <c r="A349" t="s">
        <v>490</v>
      </c>
      <c r="B349" s="1">
        <v>45121</v>
      </c>
      <c r="C349" t="s">
        <v>54</v>
      </c>
      <c r="D349" t="s">
        <v>55</v>
      </c>
      <c r="E349" t="s">
        <v>124</v>
      </c>
      <c r="F349" t="s">
        <v>125</v>
      </c>
      <c r="G349" t="s">
        <v>50</v>
      </c>
      <c r="H349" t="s">
        <v>111</v>
      </c>
      <c r="I349" t="s">
        <v>59</v>
      </c>
      <c r="J349">
        <v>764.15</v>
      </c>
      <c r="K349">
        <v>1</v>
      </c>
      <c r="L349">
        <v>-221.14</v>
      </c>
      <c r="M349" t="s">
        <v>22</v>
      </c>
      <c r="N349" t="s">
        <v>32</v>
      </c>
    </row>
    <row r="350" spans="1:14">
      <c r="A350" t="s">
        <v>491</v>
      </c>
      <c r="B350" s="1">
        <v>45289</v>
      </c>
      <c r="C350" t="s">
        <v>149</v>
      </c>
      <c r="D350" t="s">
        <v>150</v>
      </c>
      <c r="E350" t="s">
        <v>87</v>
      </c>
      <c r="F350" t="s">
        <v>88</v>
      </c>
      <c r="G350" t="s">
        <v>29</v>
      </c>
      <c r="H350" t="s">
        <v>58</v>
      </c>
      <c r="I350" t="s">
        <v>59</v>
      </c>
      <c r="J350">
        <v>756</v>
      </c>
      <c r="K350">
        <v>1</v>
      </c>
      <c r="L350">
        <v>68.25</v>
      </c>
      <c r="M350" t="s">
        <v>40</v>
      </c>
      <c r="N350" t="s">
        <v>32</v>
      </c>
    </row>
    <row r="351" spans="1:14">
      <c r="A351" t="s">
        <v>492</v>
      </c>
      <c r="B351" s="1">
        <v>45257</v>
      </c>
      <c r="C351" t="s">
        <v>145</v>
      </c>
      <c r="D351" t="s">
        <v>146</v>
      </c>
      <c r="E351" t="s">
        <v>84</v>
      </c>
      <c r="F351" t="s">
        <v>85</v>
      </c>
      <c r="G351" t="s">
        <v>69</v>
      </c>
      <c r="H351" t="s">
        <v>58</v>
      </c>
      <c r="I351" t="s">
        <v>59</v>
      </c>
      <c r="J351">
        <v>2268</v>
      </c>
      <c r="K351">
        <v>3</v>
      </c>
      <c r="L351">
        <v>204.75</v>
      </c>
      <c r="M351" t="s">
        <v>22</v>
      </c>
      <c r="N351" t="s">
        <v>32</v>
      </c>
    </row>
    <row r="352" spans="1:14">
      <c r="A352" t="s">
        <v>493</v>
      </c>
      <c r="B352" s="1">
        <v>45211</v>
      </c>
      <c r="C352" t="s">
        <v>34</v>
      </c>
      <c r="D352" t="s">
        <v>35</v>
      </c>
      <c r="E352" t="s">
        <v>67</v>
      </c>
      <c r="F352" t="s">
        <v>68</v>
      </c>
      <c r="G352" t="s">
        <v>69</v>
      </c>
      <c r="H352" t="s">
        <v>143</v>
      </c>
      <c r="I352" t="s">
        <v>59</v>
      </c>
      <c r="J352">
        <v>6398</v>
      </c>
      <c r="K352">
        <v>2</v>
      </c>
      <c r="L352">
        <v>1100</v>
      </c>
      <c r="M352" t="s">
        <v>22</v>
      </c>
      <c r="N352" t="s">
        <v>32</v>
      </c>
    </row>
    <row r="353" spans="1:14">
      <c r="A353" t="s">
        <v>494</v>
      </c>
      <c r="B353" s="1">
        <v>45251</v>
      </c>
      <c r="C353" t="s">
        <v>170</v>
      </c>
      <c r="D353" t="s">
        <v>171</v>
      </c>
      <c r="E353" t="s">
        <v>56</v>
      </c>
      <c r="F353" t="s">
        <v>57</v>
      </c>
      <c r="G353" t="s">
        <v>50</v>
      </c>
      <c r="H353" t="s">
        <v>51</v>
      </c>
      <c r="I353" t="s">
        <v>31</v>
      </c>
      <c r="J353">
        <v>26997</v>
      </c>
      <c r="K353">
        <v>3</v>
      </c>
      <c r="L353">
        <v>3600</v>
      </c>
      <c r="M353" t="s">
        <v>63</v>
      </c>
      <c r="N353" t="s">
        <v>32</v>
      </c>
    </row>
    <row r="354" spans="1:14">
      <c r="A354" t="s">
        <v>495</v>
      </c>
      <c r="B354" s="1">
        <v>44963</v>
      </c>
      <c r="C354" t="s">
        <v>25</v>
      </c>
      <c r="D354" t="s">
        <v>26</v>
      </c>
      <c r="E354" t="s">
        <v>56</v>
      </c>
      <c r="F354" t="s">
        <v>57</v>
      </c>
      <c r="G354" t="s">
        <v>50</v>
      </c>
      <c r="H354" t="s">
        <v>38</v>
      </c>
      <c r="I354" t="s">
        <v>39</v>
      </c>
      <c r="J354">
        <v>474.05</v>
      </c>
      <c r="K354">
        <v>1</v>
      </c>
      <c r="L354">
        <v>141.29</v>
      </c>
      <c r="M354" t="s">
        <v>22</v>
      </c>
      <c r="N354" t="s">
        <v>32</v>
      </c>
    </row>
    <row r="355" spans="1:14">
      <c r="A355" t="s">
        <v>496</v>
      </c>
      <c r="B355" s="1">
        <v>45238</v>
      </c>
      <c r="C355" t="s">
        <v>54</v>
      </c>
      <c r="D355" t="s">
        <v>55</v>
      </c>
      <c r="E355" t="s">
        <v>157</v>
      </c>
      <c r="F355" t="s">
        <v>158</v>
      </c>
      <c r="G355" t="s">
        <v>29</v>
      </c>
      <c r="H355" t="s">
        <v>79</v>
      </c>
      <c r="I355" t="s">
        <v>31</v>
      </c>
      <c r="J355">
        <v>33592</v>
      </c>
      <c r="K355">
        <v>1</v>
      </c>
      <c r="L355">
        <v>-1798.5</v>
      </c>
      <c r="M355" t="s">
        <v>22</v>
      </c>
      <c r="N355" t="s">
        <v>32</v>
      </c>
    </row>
    <row r="356" spans="1:14">
      <c r="A356" t="s">
        <v>497</v>
      </c>
      <c r="B356" s="1">
        <v>45261</v>
      </c>
      <c r="C356" t="s">
        <v>77</v>
      </c>
      <c r="D356" t="s">
        <v>78</v>
      </c>
      <c r="E356" t="s">
        <v>84</v>
      </c>
      <c r="F356" t="s">
        <v>85</v>
      </c>
      <c r="G356" t="s">
        <v>69</v>
      </c>
      <c r="H356" t="s">
        <v>38</v>
      </c>
      <c r="I356" t="s">
        <v>39</v>
      </c>
      <c r="J356">
        <v>998</v>
      </c>
      <c r="K356">
        <v>2</v>
      </c>
      <c r="L356">
        <v>320</v>
      </c>
      <c r="M356" t="s">
        <v>90</v>
      </c>
      <c r="N356" t="s">
        <v>32</v>
      </c>
    </row>
    <row r="357" spans="1:14">
      <c r="A357" t="s">
        <v>498</v>
      </c>
      <c r="B357" s="1">
        <v>45266</v>
      </c>
      <c r="C357" t="s">
        <v>113</v>
      </c>
      <c r="D357" t="s">
        <v>114</v>
      </c>
      <c r="E357" t="s">
        <v>49</v>
      </c>
      <c r="F357" t="s">
        <v>49</v>
      </c>
      <c r="G357" t="s">
        <v>50</v>
      </c>
      <c r="H357" t="s">
        <v>117</v>
      </c>
      <c r="I357" t="s">
        <v>93</v>
      </c>
      <c r="J357">
        <v>4368.1000000000004</v>
      </c>
      <c r="K357">
        <v>2</v>
      </c>
      <c r="L357">
        <v>-532.41999999999996</v>
      </c>
      <c r="M357" t="s">
        <v>52</v>
      </c>
      <c r="N357" t="s">
        <v>130</v>
      </c>
    </row>
    <row r="358" spans="1:14">
      <c r="A358" t="s">
        <v>499</v>
      </c>
      <c r="B358" s="1">
        <v>45096</v>
      </c>
      <c r="C358" t="s">
        <v>25</v>
      </c>
      <c r="D358" t="s">
        <v>26</v>
      </c>
      <c r="E358" t="s">
        <v>17</v>
      </c>
      <c r="F358" t="s">
        <v>18</v>
      </c>
      <c r="G358" t="s">
        <v>19</v>
      </c>
      <c r="H358" t="s">
        <v>38</v>
      </c>
      <c r="I358" t="s">
        <v>39</v>
      </c>
      <c r="J358">
        <v>499</v>
      </c>
      <c r="K358">
        <v>1</v>
      </c>
      <c r="L358">
        <v>160</v>
      </c>
      <c r="M358" t="s">
        <v>90</v>
      </c>
      <c r="N358" t="s">
        <v>32</v>
      </c>
    </row>
    <row r="359" spans="1:14">
      <c r="A359" t="s">
        <v>500</v>
      </c>
      <c r="B359" s="1">
        <v>44941</v>
      </c>
      <c r="C359" t="s">
        <v>101</v>
      </c>
      <c r="D359" t="s">
        <v>102</v>
      </c>
      <c r="E359" t="s">
        <v>135</v>
      </c>
      <c r="F359" t="s">
        <v>136</v>
      </c>
      <c r="G359" t="s">
        <v>69</v>
      </c>
      <c r="H359" t="s">
        <v>79</v>
      </c>
      <c r="I359" t="s">
        <v>31</v>
      </c>
      <c r="J359">
        <v>119671.5</v>
      </c>
      <c r="K359">
        <v>3</v>
      </c>
      <c r="L359">
        <v>8776.1200000000008</v>
      </c>
      <c r="M359" t="s">
        <v>22</v>
      </c>
      <c r="N359" t="s">
        <v>32</v>
      </c>
    </row>
    <row r="360" spans="1:14">
      <c r="A360" t="s">
        <v>501</v>
      </c>
      <c r="B360" s="1">
        <v>45013</v>
      </c>
      <c r="C360" t="s">
        <v>160</v>
      </c>
      <c r="D360" t="s">
        <v>161</v>
      </c>
      <c r="E360" t="s">
        <v>157</v>
      </c>
      <c r="F360" t="s">
        <v>158</v>
      </c>
      <c r="G360" t="s">
        <v>29</v>
      </c>
      <c r="H360" t="s">
        <v>261</v>
      </c>
      <c r="I360" t="s">
        <v>21</v>
      </c>
      <c r="J360">
        <v>18699.150000000001</v>
      </c>
      <c r="K360">
        <v>1</v>
      </c>
      <c r="L360">
        <v>-74.89</v>
      </c>
      <c r="M360" t="s">
        <v>22</v>
      </c>
      <c r="N360" t="s">
        <v>41</v>
      </c>
    </row>
    <row r="361" spans="1:14">
      <c r="A361" t="s">
        <v>502</v>
      </c>
      <c r="B361" s="1">
        <v>45171</v>
      </c>
      <c r="C361" t="s">
        <v>160</v>
      </c>
      <c r="D361" t="s">
        <v>161</v>
      </c>
      <c r="E361" t="s">
        <v>49</v>
      </c>
      <c r="F361" t="s">
        <v>49</v>
      </c>
      <c r="G361" t="s">
        <v>50</v>
      </c>
      <c r="H361" t="s">
        <v>99</v>
      </c>
      <c r="I361" t="s">
        <v>21</v>
      </c>
      <c r="J361">
        <v>1917.6</v>
      </c>
      <c r="K361">
        <v>3</v>
      </c>
      <c r="L361">
        <v>390.45</v>
      </c>
      <c r="M361" t="s">
        <v>22</v>
      </c>
      <c r="N361" t="s">
        <v>32</v>
      </c>
    </row>
    <row r="362" spans="1:14">
      <c r="A362" t="s">
        <v>503</v>
      </c>
      <c r="B362" s="1">
        <v>45071</v>
      </c>
      <c r="C362" t="s">
        <v>149</v>
      </c>
      <c r="D362" t="s">
        <v>150</v>
      </c>
      <c r="E362" t="s">
        <v>67</v>
      </c>
      <c r="F362" t="s">
        <v>68</v>
      </c>
      <c r="G362" t="s">
        <v>69</v>
      </c>
      <c r="H362" t="s">
        <v>154</v>
      </c>
      <c r="I362" t="s">
        <v>93</v>
      </c>
      <c r="J362">
        <v>2590</v>
      </c>
      <c r="K362">
        <v>2</v>
      </c>
      <c r="L362">
        <v>620</v>
      </c>
      <c r="M362" t="s">
        <v>63</v>
      </c>
      <c r="N362" t="s">
        <v>32</v>
      </c>
    </row>
    <row r="363" spans="1:14">
      <c r="A363" t="s">
        <v>504</v>
      </c>
      <c r="B363" s="1">
        <v>45177</v>
      </c>
      <c r="C363" t="s">
        <v>160</v>
      </c>
      <c r="D363" t="s">
        <v>161</v>
      </c>
      <c r="E363" t="s">
        <v>87</v>
      </c>
      <c r="F363" t="s">
        <v>88</v>
      </c>
      <c r="G363" t="s">
        <v>29</v>
      </c>
      <c r="H363" t="s">
        <v>51</v>
      </c>
      <c r="I363" t="s">
        <v>31</v>
      </c>
      <c r="J363">
        <v>28796.799999999999</v>
      </c>
      <c r="K363">
        <v>4</v>
      </c>
      <c r="L363">
        <v>-599.4</v>
      </c>
      <c r="M363" t="s">
        <v>22</v>
      </c>
      <c r="N363" t="s">
        <v>32</v>
      </c>
    </row>
    <row r="364" spans="1:14">
      <c r="A364" t="s">
        <v>505</v>
      </c>
      <c r="B364" s="1">
        <v>45168</v>
      </c>
      <c r="C364" t="s">
        <v>54</v>
      </c>
      <c r="D364" t="s">
        <v>55</v>
      </c>
      <c r="E364" t="s">
        <v>124</v>
      </c>
      <c r="F364" t="s">
        <v>125</v>
      </c>
      <c r="G364" t="s">
        <v>50</v>
      </c>
      <c r="H364" t="s">
        <v>105</v>
      </c>
      <c r="I364" t="s">
        <v>59</v>
      </c>
      <c r="J364">
        <v>12499</v>
      </c>
      <c r="K364">
        <v>1</v>
      </c>
      <c r="L364">
        <v>-1450</v>
      </c>
      <c r="M364" t="s">
        <v>22</v>
      </c>
      <c r="N364" t="s">
        <v>32</v>
      </c>
    </row>
    <row r="365" spans="1:14">
      <c r="A365" t="s">
        <v>506</v>
      </c>
      <c r="B365" s="1">
        <v>45251</v>
      </c>
      <c r="C365" t="s">
        <v>202</v>
      </c>
      <c r="D365" t="s">
        <v>203</v>
      </c>
      <c r="E365" t="s">
        <v>124</v>
      </c>
      <c r="F365" t="s">
        <v>125</v>
      </c>
      <c r="G365" t="s">
        <v>50</v>
      </c>
      <c r="H365" t="s">
        <v>99</v>
      </c>
      <c r="I365" t="s">
        <v>21</v>
      </c>
      <c r="J365">
        <v>2397</v>
      </c>
      <c r="K365">
        <v>3</v>
      </c>
      <c r="L365">
        <v>750</v>
      </c>
      <c r="M365" t="s">
        <v>63</v>
      </c>
      <c r="N365" t="s">
        <v>32</v>
      </c>
    </row>
    <row r="366" spans="1:14">
      <c r="A366" t="s">
        <v>507</v>
      </c>
      <c r="B366" s="1">
        <v>45157</v>
      </c>
      <c r="C366" t="s">
        <v>220</v>
      </c>
      <c r="D366" t="s">
        <v>221</v>
      </c>
      <c r="E366" t="s">
        <v>141</v>
      </c>
      <c r="F366" t="s">
        <v>142</v>
      </c>
      <c r="G366" t="s">
        <v>50</v>
      </c>
      <c r="H366" t="s">
        <v>45</v>
      </c>
      <c r="I366" t="s">
        <v>21</v>
      </c>
      <c r="J366">
        <v>5196</v>
      </c>
      <c r="K366">
        <v>4</v>
      </c>
      <c r="L366">
        <v>1280</v>
      </c>
      <c r="M366" t="s">
        <v>63</v>
      </c>
      <c r="N366" t="s">
        <v>32</v>
      </c>
    </row>
    <row r="367" spans="1:14">
      <c r="A367" t="s">
        <v>508</v>
      </c>
      <c r="B367" s="1">
        <v>45104</v>
      </c>
      <c r="C367" t="s">
        <v>77</v>
      </c>
      <c r="D367" t="s">
        <v>78</v>
      </c>
      <c r="E367" t="s">
        <v>141</v>
      </c>
      <c r="F367" t="s">
        <v>142</v>
      </c>
      <c r="G367" t="s">
        <v>50</v>
      </c>
      <c r="H367" t="s">
        <v>154</v>
      </c>
      <c r="I367" t="s">
        <v>93</v>
      </c>
      <c r="J367">
        <v>4403</v>
      </c>
      <c r="K367">
        <v>4</v>
      </c>
      <c r="L367">
        <v>657.25</v>
      </c>
      <c r="M367" t="s">
        <v>22</v>
      </c>
      <c r="N367" t="s">
        <v>32</v>
      </c>
    </row>
    <row r="368" spans="1:14">
      <c r="A368" t="s">
        <v>509</v>
      </c>
      <c r="B368" s="1">
        <v>45168</v>
      </c>
      <c r="C368" t="s">
        <v>113</v>
      </c>
      <c r="D368" t="s">
        <v>114</v>
      </c>
      <c r="E368" t="s">
        <v>98</v>
      </c>
      <c r="F368" t="s">
        <v>68</v>
      </c>
      <c r="G368" t="s">
        <v>69</v>
      </c>
      <c r="H368" t="s">
        <v>206</v>
      </c>
      <c r="I368" t="s">
        <v>21</v>
      </c>
      <c r="J368">
        <v>103998.39999999999</v>
      </c>
      <c r="K368">
        <v>2</v>
      </c>
      <c r="L368">
        <v>-5099.7</v>
      </c>
      <c r="M368" t="s">
        <v>63</v>
      </c>
      <c r="N368" t="s">
        <v>32</v>
      </c>
    </row>
    <row r="369" spans="1:14">
      <c r="A369" t="s">
        <v>510</v>
      </c>
      <c r="B369" s="1">
        <v>45231</v>
      </c>
      <c r="C369" t="s">
        <v>275</v>
      </c>
      <c r="D369" t="s">
        <v>276</v>
      </c>
      <c r="E369" t="s">
        <v>124</v>
      </c>
      <c r="F369" t="s">
        <v>125</v>
      </c>
      <c r="G369" t="s">
        <v>50</v>
      </c>
      <c r="H369" t="s">
        <v>105</v>
      </c>
      <c r="I369" t="s">
        <v>59</v>
      </c>
      <c r="J369">
        <v>24998</v>
      </c>
      <c r="K369">
        <v>2</v>
      </c>
      <c r="L369">
        <v>0</v>
      </c>
      <c r="M369" t="s">
        <v>63</v>
      </c>
      <c r="N369" t="s">
        <v>23</v>
      </c>
    </row>
    <row r="370" spans="1:14">
      <c r="A370" t="s">
        <v>511</v>
      </c>
      <c r="B370" s="1">
        <v>45022</v>
      </c>
      <c r="C370" t="s">
        <v>175</v>
      </c>
      <c r="D370" t="s">
        <v>176</v>
      </c>
      <c r="E370" t="s">
        <v>95</v>
      </c>
      <c r="F370" t="s">
        <v>96</v>
      </c>
      <c r="G370" t="s">
        <v>19</v>
      </c>
      <c r="H370" t="s">
        <v>105</v>
      </c>
      <c r="I370" t="s">
        <v>59</v>
      </c>
      <c r="J370">
        <v>11249.1</v>
      </c>
      <c r="K370">
        <v>1</v>
      </c>
      <c r="L370">
        <v>-2387.4299999999998</v>
      </c>
      <c r="M370" t="s">
        <v>63</v>
      </c>
      <c r="N370" t="s">
        <v>32</v>
      </c>
    </row>
    <row r="371" spans="1:14">
      <c r="A371" t="s">
        <v>512</v>
      </c>
      <c r="B371" s="1">
        <v>45097</v>
      </c>
      <c r="C371" t="s">
        <v>15</v>
      </c>
      <c r="D371" t="s">
        <v>16</v>
      </c>
      <c r="E371" t="s">
        <v>135</v>
      </c>
      <c r="F371" t="s">
        <v>136</v>
      </c>
      <c r="G371" t="s">
        <v>69</v>
      </c>
      <c r="H371" t="s">
        <v>92</v>
      </c>
      <c r="I371" t="s">
        <v>93</v>
      </c>
      <c r="J371">
        <v>7996.8</v>
      </c>
      <c r="K371">
        <v>4</v>
      </c>
      <c r="L371">
        <v>1100.5999999999999</v>
      </c>
      <c r="M371" t="s">
        <v>63</v>
      </c>
      <c r="N371" t="s">
        <v>32</v>
      </c>
    </row>
    <row r="372" spans="1:14">
      <c r="A372" t="s">
        <v>513</v>
      </c>
      <c r="B372" s="1">
        <v>44970</v>
      </c>
      <c r="C372" t="s">
        <v>275</v>
      </c>
      <c r="D372" t="s">
        <v>276</v>
      </c>
      <c r="E372" t="s">
        <v>135</v>
      </c>
      <c r="F372" t="s">
        <v>136</v>
      </c>
      <c r="G372" t="s">
        <v>69</v>
      </c>
      <c r="H372" t="s">
        <v>230</v>
      </c>
      <c r="I372" t="s">
        <v>39</v>
      </c>
      <c r="J372">
        <v>1947</v>
      </c>
      <c r="K372">
        <v>3</v>
      </c>
      <c r="L372">
        <v>660</v>
      </c>
      <c r="M372" t="s">
        <v>22</v>
      </c>
      <c r="N372" t="s">
        <v>32</v>
      </c>
    </row>
    <row r="373" spans="1:14">
      <c r="A373" t="s">
        <v>514</v>
      </c>
      <c r="B373" s="1">
        <v>44990</v>
      </c>
      <c r="C373" t="s">
        <v>81</v>
      </c>
      <c r="D373" t="s">
        <v>82</v>
      </c>
      <c r="E373" t="s">
        <v>27</v>
      </c>
      <c r="F373" t="s">
        <v>28</v>
      </c>
      <c r="G373" t="s">
        <v>29</v>
      </c>
      <c r="H373" t="s">
        <v>126</v>
      </c>
      <c r="I373" t="s">
        <v>21</v>
      </c>
      <c r="J373">
        <v>79998</v>
      </c>
      <c r="K373">
        <v>2</v>
      </c>
      <c r="L373">
        <v>9600</v>
      </c>
      <c r="M373" t="s">
        <v>40</v>
      </c>
      <c r="N373" t="s">
        <v>130</v>
      </c>
    </row>
    <row r="374" spans="1:14">
      <c r="A374" t="s">
        <v>515</v>
      </c>
      <c r="B374" s="1">
        <v>44971</v>
      </c>
      <c r="C374" t="s">
        <v>122</v>
      </c>
      <c r="D374" t="s">
        <v>123</v>
      </c>
      <c r="E374" t="s">
        <v>98</v>
      </c>
      <c r="F374" t="s">
        <v>68</v>
      </c>
      <c r="G374" t="s">
        <v>69</v>
      </c>
      <c r="H374" t="s">
        <v>189</v>
      </c>
      <c r="I374" t="s">
        <v>59</v>
      </c>
      <c r="J374">
        <v>5550</v>
      </c>
      <c r="K374">
        <v>3</v>
      </c>
      <c r="L374">
        <v>1020</v>
      </c>
      <c r="M374" t="s">
        <v>40</v>
      </c>
      <c r="N374" t="s">
        <v>32</v>
      </c>
    </row>
    <row r="375" spans="1:14">
      <c r="A375" t="s">
        <v>516</v>
      </c>
      <c r="B375" s="1">
        <v>44956</v>
      </c>
      <c r="C375" t="s">
        <v>77</v>
      </c>
      <c r="D375" t="s">
        <v>78</v>
      </c>
      <c r="E375" t="s">
        <v>98</v>
      </c>
      <c r="F375" t="s">
        <v>68</v>
      </c>
      <c r="G375" t="s">
        <v>69</v>
      </c>
      <c r="H375" t="s">
        <v>177</v>
      </c>
      <c r="I375" t="s">
        <v>93</v>
      </c>
      <c r="J375">
        <v>2548.3000000000002</v>
      </c>
      <c r="K375">
        <v>2</v>
      </c>
      <c r="L375">
        <v>422.73</v>
      </c>
      <c r="M375" t="s">
        <v>22</v>
      </c>
      <c r="N375" t="s">
        <v>32</v>
      </c>
    </row>
    <row r="376" spans="1:14">
      <c r="A376" t="s">
        <v>517</v>
      </c>
      <c r="B376" s="1">
        <v>44960</v>
      </c>
      <c r="C376" t="s">
        <v>72</v>
      </c>
      <c r="D376" t="s">
        <v>73</v>
      </c>
      <c r="E376" t="s">
        <v>17</v>
      </c>
      <c r="F376" t="s">
        <v>18</v>
      </c>
      <c r="G376" t="s">
        <v>19</v>
      </c>
      <c r="H376" t="s">
        <v>99</v>
      </c>
      <c r="I376" t="s">
        <v>21</v>
      </c>
      <c r="J376">
        <v>719.1</v>
      </c>
      <c r="K376">
        <v>1</v>
      </c>
      <c r="L376">
        <v>190.07</v>
      </c>
      <c r="M376" t="s">
        <v>22</v>
      </c>
      <c r="N376" t="s">
        <v>32</v>
      </c>
    </row>
    <row r="377" spans="1:14">
      <c r="A377" t="s">
        <v>518</v>
      </c>
      <c r="B377" s="1">
        <v>44992</v>
      </c>
      <c r="C377" t="s">
        <v>149</v>
      </c>
      <c r="D377" t="s">
        <v>150</v>
      </c>
      <c r="E377" t="s">
        <v>157</v>
      </c>
      <c r="F377" t="s">
        <v>158</v>
      </c>
      <c r="G377" t="s">
        <v>29</v>
      </c>
      <c r="H377" t="s">
        <v>177</v>
      </c>
      <c r="I377" t="s">
        <v>93</v>
      </c>
      <c r="J377">
        <v>5996</v>
      </c>
      <c r="K377">
        <v>4</v>
      </c>
      <c r="L377">
        <v>1520</v>
      </c>
      <c r="M377" t="s">
        <v>90</v>
      </c>
      <c r="N377" t="s">
        <v>130</v>
      </c>
    </row>
    <row r="378" spans="1:14">
      <c r="A378" t="s">
        <v>519</v>
      </c>
      <c r="B378" s="1">
        <v>45282</v>
      </c>
      <c r="C378" t="s">
        <v>34</v>
      </c>
      <c r="D378" t="s">
        <v>35</v>
      </c>
      <c r="E378" t="s">
        <v>157</v>
      </c>
      <c r="F378" t="s">
        <v>158</v>
      </c>
      <c r="G378" t="s">
        <v>29</v>
      </c>
      <c r="H378" t="s">
        <v>126</v>
      </c>
      <c r="I378" t="s">
        <v>21</v>
      </c>
      <c r="J378">
        <v>67998.3</v>
      </c>
      <c r="K378">
        <v>2</v>
      </c>
      <c r="L378">
        <v>600.23</v>
      </c>
      <c r="M378" t="s">
        <v>22</v>
      </c>
      <c r="N378" t="s">
        <v>32</v>
      </c>
    </row>
    <row r="379" spans="1:14">
      <c r="A379" t="s">
        <v>520</v>
      </c>
      <c r="B379" s="1">
        <v>45231</v>
      </c>
      <c r="C379" t="s">
        <v>61</v>
      </c>
      <c r="D379" t="s">
        <v>62</v>
      </c>
      <c r="E379" t="s">
        <v>124</v>
      </c>
      <c r="F379" t="s">
        <v>125</v>
      </c>
      <c r="G379" t="s">
        <v>50</v>
      </c>
      <c r="H379" t="s">
        <v>58</v>
      </c>
      <c r="I379" t="s">
        <v>59</v>
      </c>
      <c r="J379">
        <v>1606.5</v>
      </c>
      <c r="K379">
        <v>2</v>
      </c>
      <c r="L379">
        <v>207.38</v>
      </c>
      <c r="M379" t="s">
        <v>90</v>
      </c>
      <c r="N379" t="s">
        <v>32</v>
      </c>
    </row>
    <row r="380" spans="1:14">
      <c r="A380" t="s">
        <v>521</v>
      </c>
      <c r="B380" s="1">
        <v>45207</v>
      </c>
      <c r="C380" t="s">
        <v>25</v>
      </c>
      <c r="D380" t="s">
        <v>26</v>
      </c>
      <c r="E380" t="s">
        <v>95</v>
      </c>
      <c r="F380" t="s">
        <v>96</v>
      </c>
      <c r="G380" t="s">
        <v>19</v>
      </c>
      <c r="H380" t="s">
        <v>38</v>
      </c>
      <c r="I380" t="s">
        <v>39</v>
      </c>
      <c r="J380">
        <v>1996</v>
      </c>
      <c r="K380">
        <v>4</v>
      </c>
      <c r="L380">
        <v>640</v>
      </c>
      <c r="M380" t="s">
        <v>22</v>
      </c>
      <c r="N380" t="s">
        <v>32</v>
      </c>
    </row>
    <row r="381" spans="1:14">
      <c r="A381" t="s">
        <v>522</v>
      </c>
      <c r="B381" s="1">
        <v>45066</v>
      </c>
      <c r="C381" t="s">
        <v>101</v>
      </c>
      <c r="D381" t="s">
        <v>102</v>
      </c>
      <c r="E381" t="s">
        <v>157</v>
      </c>
      <c r="F381" t="s">
        <v>158</v>
      </c>
      <c r="G381" t="s">
        <v>29</v>
      </c>
      <c r="H381" t="s">
        <v>261</v>
      </c>
      <c r="I381" t="s">
        <v>21</v>
      </c>
      <c r="J381">
        <v>21999</v>
      </c>
      <c r="K381">
        <v>1</v>
      </c>
      <c r="L381">
        <v>2400</v>
      </c>
      <c r="M381" t="s">
        <v>40</v>
      </c>
      <c r="N381" t="s">
        <v>32</v>
      </c>
    </row>
    <row r="382" spans="1:14">
      <c r="A382" t="s">
        <v>523</v>
      </c>
      <c r="B382" s="1">
        <v>45011</v>
      </c>
      <c r="C382" t="s">
        <v>81</v>
      </c>
      <c r="D382" t="s">
        <v>82</v>
      </c>
      <c r="E382" t="s">
        <v>95</v>
      </c>
      <c r="F382" t="s">
        <v>96</v>
      </c>
      <c r="G382" t="s">
        <v>19</v>
      </c>
      <c r="H382" t="s">
        <v>111</v>
      </c>
      <c r="I382" t="s">
        <v>59</v>
      </c>
      <c r="J382">
        <v>2427.3000000000002</v>
      </c>
      <c r="K382">
        <v>3</v>
      </c>
      <c r="L382">
        <v>-562.27</v>
      </c>
      <c r="M382" t="s">
        <v>22</v>
      </c>
      <c r="N382" t="s">
        <v>32</v>
      </c>
    </row>
    <row r="383" spans="1:14">
      <c r="A383" t="s">
        <v>524</v>
      </c>
      <c r="B383" s="1">
        <v>44976</v>
      </c>
      <c r="C383" t="s">
        <v>65</v>
      </c>
      <c r="D383" t="s">
        <v>66</v>
      </c>
      <c r="E383" t="s">
        <v>27</v>
      </c>
      <c r="F383" t="s">
        <v>28</v>
      </c>
      <c r="G383" t="s">
        <v>29</v>
      </c>
      <c r="H383" t="s">
        <v>128</v>
      </c>
      <c r="I383" t="s">
        <v>31</v>
      </c>
      <c r="J383">
        <v>1345.5</v>
      </c>
      <c r="K383">
        <v>1</v>
      </c>
      <c r="L383">
        <v>237.88</v>
      </c>
      <c r="M383" t="s">
        <v>40</v>
      </c>
      <c r="N383" t="s">
        <v>32</v>
      </c>
    </row>
    <row r="384" spans="1:14">
      <c r="A384" t="s">
        <v>525</v>
      </c>
      <c r="B384" s="1">
        <v>45269</v>
      </c>
      <c r="C384" t="s">
        <v>77</v>
      </c>
      <c r="D384" t="s">
        <v>78</v>
      </c>
      <c r="E384" t="s">
        <v>36</v>
      </c>
      <c r="F384" t="s">
        <v>37</v>
      </c>
      <c r="G384" t="s">
        <v>19</v>
      </c>
      <c r="H384" t="s">
        <v>45</v>
      </c>
      <c r="I384" t="s">
        <v>21</v>
      </c>
      <c r="J384">
        <v>3312.45</v>
      </c>
      <c r="K384">
        <v>3</v>
      </c>
      <c r="L384">
        <v>521.59</v>
      </c>
      <c r="M384" t="s">
        <v>63</v>
      </c>
      <c r="N384" t="s">
        <v>32</v>
      </c>
    </row>
    <row r="385" spans="1:14">
      <c r="A385" t="s">
        <v>526</v>
      </c>
      <c r="B385" s="1">
        <v>45023</v>
      </c>
      <c r="C385" t="s">
        <v>113</v>
      </c>
      <c r="D385" t="s">
        <v>114</v>
      </c>
      <c r="E385" t="s">
        <v>67</v>
      </c>
      <c r="F385" t="s">
        <v>68</v>
      </c>
      <c r="G385" t="s">
        <v>69</v>
      </c>
      <c r="H385" t="s">
        <v>79</v>
      </c>
      <c r="I385" t="s">
        <v>31</v>
      </c>
      <c r="J385">
        <v>79781</v>
      </c>
      <c r="K385">
        <v>2</v>
      </c>
      <c r="L385">
        <v>5850.75</v>
      </c>
      <c r="M385" t="s">
        <v>63</v>
      </c>
      <c r="N385" t="s">
        <v>32</v>
      </c>
    </row>
    <row r="386" spans="1:14">
      <c r="A386" t="s">
        <v>527</v>
      </c>
      <c r="B386" s="1">
        <v>45227</v>
      </c>
      <c r="C386" t="s">
        <v>220</v>
      </c>
      <c r="D386" t="s">
        <v>221</v>
      </c>
      <c r="E386" t="s">
        <v>56</v>
      </c>
      <c r="F386" t="s">
        <v>57</v>
      </c>
      <c r="G386" t="s">
        <v>50</v>
      </c>
      <c r="H386" t="s">
        <v>128</v>
      </c>
      <c r="I386" t="s">
        <v>31</v>
      </c>
      <c r="J386">
        <v>5382</v>
      </c>
      <c r="K386">
        <v>4</v>
      </c>
      <c r="L386">
        <v>-807.3</v>
      </c>
      <c r="M386" t="s">
        <v>22</v>
      </c>
      <c r="N386" t="s">
        <v>75</v>
      </c>
    </row>
    <row r="387" spans="1:14">
      <c r="A387" t="s">
        <v>528</v>
      </c>
      <c r="B387" s="1">
        <v>45286</v>
      </c>
      <c r="C387" t="s">
        <v>175</v>
      </c>
      <c r="D387" t="s">
        <v>176</v>
      </c>
      <c r="E387" t="s">
        <v>27</v>
      </c>
      <c r="F387" t="s">
        <v>28</v>
      </c>
      <c r="G387" t="s">
        <v>29</v>
      </c>
      <c r="H387" t="s">
        <v>173</v>
      </c>
      <c r="I387" t="s">
        <v>59</v>
      </c>
      <c r="J387">
        <v>17196</v>
      </c>
      <c r="K387">
        <v>4</v>
      </c>
      <c r="L387">
        <v>2880</v>
      </c>
      <c r="M387" t="s">
        <v>22</v>
      </c>
      <c r="N387" t="s">
        <v>32</v>
      </c>
    </row>
    <row r="388" spans="1:14">
      <c r="A388" t="s">
        <v>529</v>
      </c>
      <c r="B388" s="1">
        <v>45026</v>
      </c>
      <c r="C388" t="s">
        <v>113</v>
      </c>
      <c r="D388" t="s">
        <v>114</v>
      </c>
      <c r="E388" t="s">
        <v>67</v>
      </c>
      <c r="F388" t="s">
        <v>68</v>
      </c>
      <c r="G388" t="s">
        <v>69</v>
      </c>
      <c r="H388" t="s">
        <v>105</v>
      </c>
      <c r="I388" t="s">
        <v>59</v>
      </c>
      <c r="J388">
        <v>11249.1</v>
      </c>
      <c r="K388">
        <v>1</v>
      </c>
      <c r="L388">
        <v>-2387.4299999999998</v>
      </c>
      <c r="M388" t="s">
        <v>40</v>
      </c>
      <c r="N388" t="s">
        <v>41</v>
      </c>
    </row>
    <row r="389" spans="1:14">
      <c r="A389" t="s">
        <v>530</v>
      </c>
      <c r="B389" s="1">
        <v>44976</v>
      </c>
      <c r="C389" t="s">
        <v>175</v>
      </c>
      <c r="D389" t="s">
        <v>176</v>
      </c>
      <c r="E389" t="s">
        <v>36</v>
      </c>
      <c r="F389" t="s">
        <v>37</v>
      </c>
      <c r="G389" t="s">
        <v>19</v>
      </c>
      <c r="H389" t="s">
        <v>261</v>
      </c>
      <c r="I389" t="s">
        <v>21</v>
      </c>
      <c r="J389">
        <v>18699.150000000001</v>
      </c>
      <c r="K389">
        <v>1</v>
      </c>
      <c r="L389">
        <v>-74.89</v>
      </c>
      <c r="M389" t="s">
        <v>52</v>
      </c>
      <c r="N389" t="s">
        <v>32</v>
      </c>
    </row>
    <row r="390" spans="1:14">
      <c r="A390" t="s">
        <v>531</v>
      </c>
      <c r="B390" s="1">
        <v>45163</v>
      </c>
      <c r="C390" t="s">
        <v>34</v>
      </c>
      <c r="D390" t="s">
        <v>35</v>
      </c>
      <c r="E390" t="s">
        <v>157</v>
      </c>
      <c r="F390" t="s">
        <v>158</v>
      </c>
      <c r="G390" t="s">
        <v>29</v>
      </c>
      <c r="H390" t="s">
        <v>45</v>
      </c>
      <c r="I390" t="s">
        <v>21</v>
      </c>
      <c r="J390">
        <v>3312.45</v>
      </c>
      <c r="K390">
        <v>3</v>
      </c>
      <c r="L390">
        <v>521.59</v>
      </c>
      <c r="M390" t="s">
        <v>22</v>
      </c>
      <c r="N390" t="s">
        <v>32</v>
      </c>
    </row>
    <row r="391" spans="1:14">
      <c r="A391" t="s">
        <v>532</v>
      </c>
      <c r="B391" s="1">
        <v>45026</v>
      </c>
      <c r="C391" t="s">
        <v>34</v>
      </c>
      <c r="D391" t="s">
        <v>35</v>
      </c>
      <c r="E391" t="s">
        <v>98</v>
      </c>
      <c r="F391" t="s">
        <v>68</v>
      </c>
      <c r="G391" t="s">
        <v>69</v>
      </c>
      <c r="H391" t="s">
        <v>126</v>
      </c>
      <c r="I391" t="s">
        <v>21</v>
      </c>
      <c r="J391">
        <v>151996.20000000001</v>
      </c>
      <c r="K391">
        <v>4</v>
      </c>
      <c r="L391">
        <v>13200.15</v>
      </c>
      <c r="M391" t="s">
        <v>40</v>
      </c>
      <c r="N391" t="s">
        <v>32</v>
      </c>
    </row>
    <row r="392" spans="1:14">
      <c r="A392" t="s">
        <v>533</v>
      </c>
      <c r="B392" s="1">
        <v>45130</v>
      </c>
      <c r="C392" t="s">
        <v>149</v>
      </c>
      <c r="D392" t="s">
        <v>150</v>
      </c>
      <c r="E392" t="s">
        <v>157</v>
      </c>
      <c r="F392" t="s">
        <v>158</v>
      </c>
      <c r="G392" t="s">
        <v>29</v>
      </c>
      <c r="H392" t="s">
        <v>79</v>
      </c>
      <c r="I392" t="s">
        <v>31</v>
      </c>
      <c r="J392">
        <v>142766</v>
      </c>
      <c r="K392">
        <v>4</v>
      </c>
      <c r="L392">
        <v>-895.5</v>
      </c>
      <c r="M392" t="s">
        <v>52</v>
      </c>
      <c r="N392" t="s">
        <v>32</v>
      </c>
    </row>
    <row r="393" spans="1:14">
      <c r="A393" t="s">
        <v>534</v>
      </c>
      <c r="B393" s="1">
        <v>45025</v>
      </c>
      <c r="C393" t="s">
        <v>61</v>
      </c>
      <c r="D393" t="s">
        <v>62</v>
      </c>
      <c r="E393" t="s">
        <v>157</v>
      </c>
      <c r="F393" t="s">
        <v>158</v>
      </c>
      <c r="G393" t="s">
        <v>29</v>
      </c>
      <c r="H393" t="s">
        <v>147</v>
      </c>
      <c r="I393" t="s">
        <v>93</v>
      </c>
      <c r="J393">
        <v>6796.6</v>
      </c>
      <c r="K393">
        <v>4</v>
      </c>
      <c r="L393">
        <v>1180.45</v>
      </c>
      <c r="M393" t="s">
        <v>40</v>
      </c>
      <c r="N393" t="s">
        <v>32</v>
      </c>
    </row>
    <row r="394" spans="1:14">
      <c r="A394" t="s">
        <v>535</v>
      </c>
      <c r="B394" s="1">
        <v>44928</v>
      </c>
      <c r="C394" t="s">
        <v>65</v>
      </c>
      <c r="D394" t="s">
        <v>66</v>
      </c>
      <c r="E394" t="s">
        <v>98</v>
      </c>
      <c r="F394" t="s">
        <v>68</v>
      </c>
      <c r="G394" t="s">
        <v>69</v>
      </c>
      <c r="H394" t="s">
        <v>92</v>
      </c>
      <c r="I394" t="s">
        <v>93</v>
      </c>
      <c r="J394">
        <v>6372.45</v>
      </c>
      <c r="K394">
        <v>3</v>
      </c>
      <c r="L394">
        <v>1106.5899999999999</v>
      </c>
      <c r="M394" t="s">
        <v>22</v>
      </c>
      <c r="N394" t="s">
        <v>32</v>
      </c>
    </row>
    <row r="395" spans="1:14">
      <c r="A395" t="s">
        <v>536</v>
      </c>
      <c r="B395" s="1">
        <v>44951</v>
      </c>
      <c r="C395" t="s">
        <v>145</v>
      </c>
      <c r="D395" t="s">
        <v>146</v>
      </c>
      <c r="E395" t="s">
        <v>87</v>
      </c>
      <c r="F395" t="s">
        <v>88</v>
      </c>
      <c r="G395" t="s">
        <v>29</v>
      </c>
      <c r="H395" t="s">
        <v>177</v>
      </c>
      <c r="I395" t="s">
        <v>93</v>
      </c>
      <c r="J395">
        <v>4272.1499999999996</v>
      </c>
      <c r="K395">
        <v>3</v>
      </c>
      <c r="L395">
        <v>971.36</v>
      </c>
      <c r="M395" t="s">
        <v>63</v>
      </c>
      <c r="N395" t="s">
        <v>32</v>
      </c>
    </row>
    <row r="396" spans="1:14">
      <c r="A396" t="s">
        <v>537</v>
      </c>
      <c r="B396" s="1">
        <v>45184</v>
      </c>
      <c r="C396" t="s">
        <v>43</v>
      </c>
      <c r="D396" t="s">
        <v>44</v>
      </c>
      <c r="E396" t="s">
        <v>124</v>
      </c>
      <c r="F396" t="s">
        <v>125</v>
      </c>
      <c r="G396" t="s">
        <v>50</v>
      </c>
      <c r="H396" t="s">
        <v>206</v>
      </c>
      <c r="I396" t="s">
        <v>21</v>
      </c>
      <c r="J396">
        <v>259996</v>
      </c>
      <c r="K396">
        <v>4</v>
      </c>
      <c r="L396">
        <v>28800</v>
      </c>
      <c r="M396" t="s">
        <v>63</v>
      </c>
      <c r="N396" t="s">
        <v>32</v>
      </c>
    </row>
    <row r="397" spans="1:14">
      <c r="A397" t="s">
        <v>538</v>
      </c>
      <c r="B397" s="1">
        <v>45036</v>
      </c>
      <c r="C397" t="s">
        <v>170</v>
      </c>
      <c r="D397" t="s">
        <v>171</v>
      </c>
      <c r="E397" t="s">
        <v>124</v>
      </c>
      <c r="F397" t="s">
        <v>125</v>
      </c>
      <c r="G397" t="s">
        <v>50</v>
      </c>
      <c r="H397" t="s">
        <v>173</v>
      </c>
      <c r="I397" t="s">
        <v>59</v>
      </c>
      <c r="J397">
        <v>12252.15</v>
      </c>
      <c r="K397">
        <v>3</v>
      </c>
      <c r="L397">
        <v>1676.36</v>
      </c>
      <c r="M397" t="s">
        <v>63</v>
      </c>
      <c r="N397" t="s">
        <v>41</v>
      </c>
    </row>
    <row r="398" spans="1:14">
      <c r="A398" t="s">
        <v>539</v>
      </c>
      <c r="B398" s="1">
        <v>45095</v>
      </c>
      <c r="C398" t="s">
        <v>149</v>
      </c>
      <c r="D398" t="s">
        <v>150</v>
      </c>
      <c r="E398" t="s">
        <v>135</v>
      </c>
      <c r="F398" t="s">
        <v>136</v>
      </c>
      <c r="G398" t="s">
        <v>69</v>
      </c>
      <c r="H398" t="s">
        <v>115</v>
      </c>
      <c r="I398" t="s">
        <v>93</v>
      </c>
      <c r="J398">
        <v>3237.3</v>
      </c>
      <c r="K398">
        <v>3</v>
      </c>
      <c r="L398">
        <v>600.22</v>
      </c>
      <c r="M398" t="s">
        <v>22</v>
      </c>
      <c r="N398" t="s">
        <v>32</v>
      </c>
    </row>
    <row r="399" spans="1:14">
      <c r="A399" t="s">
        <v>540</v>
      </c>
      <c r="B399" s="1">
        <v>44983</v>
      </c>
      <c r="C399" t="s">
        <v>122</v>
      </c>
      <c r="D399" t="s">
        <v>123</v>
      </c>
      <c r="E399" t="s">
        <v>27</v>
      </c>
      <c r="F399" t="s">
        <v>28</v>
      </c>
      <c r="G399" t="s">
        <v>29</v>
      </c>
      <c r="H399" t="s">
        <v>164</v>
      </c>
      <c r="I399" t="s">
        <v>39</v>
      </c>
      <c r="J399">
        <v>5696.2</v>
      </c>
      <c r="K399">
        <v>4</v>
      </c>
      <c r="L399">
        <v>1215.1500000000001</v>
      </c>
      <c r="M399" t="s">
        <v>40</v>
      </c>
      <c r="N399" t="s">
        <v>32</v>
      </c>
    </row>
    <row r="400" spans="1:14">
      <c r="A400" t="s">
        <v>541</v>
      </c>
      <c r="B400" s="1">
        <v>45169</v>
      </c>
      <c r="C400" t="s">
        <v>72</v>
      </c>
      <c r="D400" t="s">
        <v>73</v>
      </c>
      <c r="E400" t="s">
        <v>56</v>
      </c>
      <c r="F400" t="s">
        <v>57</v>
      </c>
      <c r="G400" t="s">
        <v>50</v>
      </c>
      <c r="H400" t="s">
        <v>30</v>
      </c>
      <c r="I400" t="s">
        <v>31</v>
      </c>
      <c r="J400">
        <v>2547</v>
      </c>
      <c r="K400">
        <v>3</v>
      </c>
      <c r="L400">
        <v>630</v>
      </c>
      <c r="M400" t="s">
        <v>40</v>
      </c>
      <c r="N400" t="s">
        <v>32</v>
      </c>
    </row>
    <row r="401" spans="1:14">
      <c r="A401" t="s">
        <v>542</v>
      </c>
      <c r="B401" s="1">
        <v>45065</v>
      </c>
      <c r="C401" t="s">
        <v>202</v>
      </c>
      <c r="D401" t="s">
        <v>203</v>
      </c>
      <c r="E401" t="s">
        <v>56</v>
      </c>
      <c r="F401" t="s">
        <v>57</v>
      </c>
      <c r="G401" t="s">
        <v>50</v>
      </c>
      <c r="H401" t="s">
        <v>117</v>
      </c>
      <c r="I401" t="s">
        <v>93</v>
      </c>
      <c r="J401">
        <v>5517.6</v>
      </c>
      <c r="K401">
        <v>3</v>
      </c>
      <c r="L401">
        <v>-1574.55</v>
      </c>
      <c r="M401" t="s">
        <v>90</v>
      </c>
      <c r="N401" t="s">
        <v>41</v>
      </c>
    </row>
    <row r="402" spans="1:14">
      <c r="A402" t="s">
        <v>543</v>
      </c>
      <c r="B402" s="1">
        <v>45010</v>
      </c>
      <c r="C402" t="s">
        <v>202</v>
      </c>
      <c r="D402" t="s">
        <v>203</v>
      </c>
      <c r="E402" t="s">
        <v>87</v>
      </c>
      <c r="F402" t="s">
        <v>88</v>
      </c>
      <c r="G402" t="s">
        <v>29</v>
      </c>
      <c r="H402" t="s">
        <v>20</v>
      </c>
      <c r="I402" t="s">
        <v>21</v>
      </c>
      <c r="J402">
        <v>1139.05</v>
      </c>
      <c r="K402">
        <v>1</v>
      </c>
      <c r="L402">
        <v>215.04</v>
      </c>
      <c r="M402" t="s">
        <v>63</v>
      </c>
      <c r="N402" t="s">
        <v>32</v>
      </c>
    </row>
    <row r="403" spans="1:14">
      <c r="A403" t="s">
        <v>544</v>
      </c>
      <c r="B403" s="1">
        <v>45096</v>
      </c>
      <c r="C403" t="s">
        <v>202</v>
      </c>
      <c r="D403" t="s">
        <v>203</v>
      </c>
      <c r="E403" t="s">
        <v>87</v>
      </c>
      <c r="F403" t="s">
        <v>88</v>
      </c>
      <c r="G403" t="s">
        <v>29</v>
      </c>
      <c r="H403" t="s">
        <v>261</v>
      </c>
      <c r="I403" t="s">
        <v>21</v>
      </c>
      <c r="J403">
        <v>41798.1</v>
      </c>
      <c r="K403">
        <v>2</v>
      </c>
      <c r="L403">
        <v>3150.07</v>
      </c>
      <c r="M403" t="s">
        <v>40</v>
      </c>
      <c r="N403" t="s">
        <v>32</v>
      </c>
    </row>
    <row r="404" spans="1:14">
      <c r="A404" t="s">
        <v>545</v>
      </c>
      <c r="B404" s="1">
        <v>45142</v>
      </c>
      <c r="C404" t="s">
        <v>54</v>
      </c>
      <c r="D404" t="s">
        <v>55</v>
      </c>
      <c r="E404" t="s">
        <v>27</v>
      </c>
      <c r="F404" t="s">
        <v>28</v>
      </c>
      <c r="G404" t="s">
        <v>29</v>
      </c>
      <c r="H404" t="s">
        <v>154</v>
      </c>
      <c r="I404" t="s">
        <v>93</v>
      </c>
      <c r="J404">
        <v>5180</v>
      </c>
      <c r="K404">
        <v>4</v>
      </c>
      <c r="L404">
        <v>1240</v>
      </c>
      <c r="M404" t="s">
        <v>40</v>
      </c>
      <c r="N404" t="s">
        <v>32</v>
      </c>
    </row>
    <row r="405" spans="1:14">
      <c r="A405" t="s">
        <v>546</v>
      </c>
      <c r="B405" s="1">
        <v>44955</v>
      </c>
      <c r="C405" t="s">
        <v>119</v>
      </c>
      <c r="D405" t="s">
        <v>120</v>
      </c>
      <c r="E405" t="s">
        <v>17</v>
      </c>
      <c r="F405" t="s">
        <v>18</v>
      </c>
      <c r="G405" t="s">
        <v>19</v>
      </c>
      <c r="H405" t="s">
        <v>45</v>
      </c>
      <c r="I405" t="s">
        <v>21</v>
      </c>
      <c r="J405">
        <v>1299</v>
      </c>
      <c r="K405">
        <v>1</v>
      </c>
      <c r="L405">
        <v>320</v>
      </c>
      <c r="M405" t="s">
        <v>52</v>
      </c>
      <c r="N405" t="s">
        <v>32</v>
      </c>
    </row>
    <row r="406" spans="1:14">
      <c r="A406" t="s">
        <v>547</v>
      </c>
      <c r="B406" s="1">
        <v>45216</v>
      </c>
      <c r="C406" t="s">
        <v>113</v>
      </c>
      <c r="D406" t="s">
        <v>114</v>
      </c>
      <c r="E406" t="s">
        <v>141</v>
      </c>
      <c r="F406" t="s">
        <v>142</v>
      </c>
      <c r="G406" t="s">
        <v>50</v>
      </c>
      <c r="H406" t="s">
        <v>154</v>
      </c>
      <c r="I406" t="s">
        <v>93</v>
      </c>
      <c r="J406">
        <v>4403</v>
      </c>
      <c r="K406">
        <v>4</v>
      </c>
      <c r="L406">
        <v>-660.45</v>
      </c>
      <c r="M406" t="s">
        <v>52</v>
      </c>
      <c r="N406" t="s">
        <v>75</v>
      </c>
    </row>
    <row r="407" spans="1:14">
      <c r="A407" t="s">
        <v>548</v>
      </c>
      <c r="B407" s="1">
        <v>45098</v>
      </c>
      <c r="C407" t="s">
        <v>227</v>
      </c>
      <c r="D407" t="s">
        <v>228</v>
      </c>
      <c r="E407" t="s">
        <v>157</v>
      </c>
      <c r="F407" t="s">
        <v>158</v>
      </c>
      <c r="G407" t="s">
        <v>29</v>
      </c>
      <c r="H407" t="s">
        <v>109</v>
      </c>
      <c r="I407" t="s">
        <v>31</v>
      </c>
      <c r="J407">
        <v>164970</v>
      </c>
      <c r="K407">
        <v>3</v>
      </c>
      <c r="L407">
        <v>17400</v>
      </c>
      <c r="M407" t="s">
        <v>22</v>
      </c>
      <c r="N407" t="s">
        <v>32</v>
      </c>
    </row>
    <row r="408" spans="1:14">
      <c r="A408" t="s">
        <v>549</v>
      </c>
      <c r="B408" s="1">
        <v>45126</v>
      </c>
      <c r="C408" t="s">
        <v>275</v>
      </c>
      <c r="D408" t="s">
        <v>276</v>
      </c>
      <c r="E408" t="s">
        <v>157</v>
      </c>
      <c r="F408" t="s">
        <v>158</v>
      </c>
      <c r="G408" t="s">
        <v>29</v>
      </c>
      <c r="H408" t="s">
        <v>184</v>
      </c>
      <c r="I408" t="s">
        <v>39</v>
      </c>
      <c r="J408">
        <v>472.5</v>
      </c>
      <c r="K408">
        <v>1</v>
      </c>
      <c r="L408">
        <v>135.62</v>
      </c>
      <c r="M408" t="s">
        <v>22</v>
      </c>
      <c r="N408" t="s">
        <v>32</v>
      </c>
    </row>
    <row r="409" spans="1:14">
      <c r="A409" t="s">
        <v>550</v>
      </c>
      <c r="B409" s="1">
        <v>45078</v>
      </c>
      <c r="C409" t="s">
        <v>122</v>
      </c>
      <c r="D409" t="s">
        <v>123</v>
      </c>
      <c r="E409" t="s">
        <v>67</v>
      </c>
      <c r="F409" t="s">
        <v>68</v>
      </c>
      <c r="G409" t="s">
        <v>69</v>
      </c>
      <c r="H409" t="s">
        <v>261</v>
      </c>
      <c r="I409" t="s">
        <v>21</v>
      </c>
      <c r="J409">
        <v>70396.800000000003</v>
      </c>
      <c r="K409">
        <v>4</v>
      </c>
      <c r="L409">
        <v>-3599.4</v>
      </c>
      <c r="M409" t="s">
        <v>22</v>
      </c>
      <c r="N409" t="s">
        <v>32</v>
      </c>
    </row>
    <row r="410" spans="1:14">
      <c r="A410" t="s">
        <v>551</v>
      </c>
      <c r="B410" s="1">
        <v>45115</v>
      </c>
      <c r="C410" t="s">
        <v>132</v>
      </c>
      <c r="D410" t="s">
        <v>133</v>
      </c>
      <c r="E410" t="s">
        <v>157</v>
      </c>
      <c r="F410" t="s">
        <v>158</v>
      </c>
      <c r="G410" t="s">
        <v>29</v>
      </c>
      <c r="H410" t="s">
        <v>30</v>
      </c>
      <c r="I410" t="s">
        <v>31</v>
      </c>
      <c r="J410">
        <v>1698</v>
      </c>
      <c r="K410">
        <v>2</v>
      </c>
      <c r="L410">
        <v>420</v>
      </c>
      <c r="M410" t="s">
        <v>22</v>
      </c>
      <c r="N410" t="s">
        <v>32</v>
      </c>
    </row>
    <row r="411" spans="1:14">
      <c r="A411" t="s">
        <v>552</v>
      </c>
      <c r="B411" s="1">
        <v>45279</v>
      </c>
      <c r="C411" t="s">
        <v>47</v>
      </c>
      <c r="D411" t="s">
        <v>48</v>
      </c>
      <c r="E411" t="s">
        <v>141</v>
      </c>
      <c r="F411" t="s">
        <v>142</v>
      </c>
      <c r="G411" t="s">
        <v>50</v>
      </c>
      <c r="H411" t="s">
        <v>38</v>
      </c>
      <c r="I411" t="s">
        <v>39</v>
      </c>
      <c r="J411">
        <v>499</v>
      </c>
      <c r="K411">
        <v>1</v>
      </c>
      <c r="L411">
        <v>160</v>
      </c>
      <c r="M411" t="s">
        <v>52</v>
      </c>
      <c r="N411" t="s">
        <v>41</v>
      </c>
    </row>
    <row r="412" spans="1:14">
      <c r="A412" t="s">
        <v>553</v>
      </c>
      <c r="B412" s="1">
        <v>45152</v>
      </c>
      <c r="C412" t="s">
        <v>81</v>
      </c>
      <c r="D412" t="s">
        <v>82</v>
      </c>
      <c r="E412" t="s">
        <v>36</v>
      </c>
      <c r="F412" t="s">
        <v>37</v>
      </c>
      <c r="G412" t="s">
        <v>19</v>
      </c>
      <c r="H412" t="s">
        <v>20</v>
      </c>
      <c r="I412" t="s">
        <v>21</v>
      </c>
      <c r="J412">
        <v>2158.1999999999998</v>
      </c>
      <c r="K412">
        <v>2</v>
      </c>
      <c r="L412">
        <v>340.15</v>
      </c>
      <c r="M412" t="s">
        <v>63</v>
      </c>
      <c r="N412" t="s">
        <v>130</v>
      </c>
    </row>
    <row r="413" spans="1:14">
      <c r="A413" t="s">
        <v>554</v>
      </c>
      <c r="B413" s="1">
        <v>45270</v>
      </c>
      <c r="C413" t="s">
        <v>227</v>
      </c>
      <c r="D413" t="s">
        <v>228</v>
      </c>
      <c r="E413" t="s">
        <v>67</v>
      </c>
      <c r="F413" t="s">
        <v>68</v>
      </c>
      <c r="G413" t="s">
        <v>69</v>
      </c>
      <c r="H413" t="s">
        <v>126</v>
      </c>
      <c r="I413" t="s">
        <v>21</v>
      </c>
      <c r="J413">
        <v>143996.4</v>
      </c>
      <c r="K413">
        <v>4</v>
      </c>
      <c r="L413">
        <v>0</v>
      </c>
      <c r="M413" t="s">
        <v>63</v>
      </c>
      <c r="N413" t="s">
        <v>23</v>
      </c>
    </row>
    <row r="414" spans="1:14">
      <c r="A414" t="s">
        <v>555</v>
      </c>
      <c r="B414" s="1">
        <v>45078</v>
      </c>
      <c r="C414" t="s">
        <v>122</v>
      </c>
      <c r="D414" t="s">
        <v>123</v>
      </c>
      <c r="E414" t="s">
        <v>49</v>
      </c>
      <c r="F414" t="s">
        <v>49</v>
      </c>
      <c r="G414" t="s">
        <v>50</v>
      </c>
      <c r="H414" t="s">
        <v>117</v>
      </c>
      <c r="I414" t="s">
        <v>93</v>
      </c>
      <c r="J414">
        <v>9196</v>
      </c>
      <c r="K414">
        <v>4</v>
      </c>
      <c r="L414">
        <v>-720</v>
      </c>
      <c r="M414" t="s">
        <v>22</v>
      </c>
      <c r="N414" t="s">
        <v>32</v>
      </c>
    </row>
    <row r="415" spans="1:14">
      <c r="A415" t="s">
        <v>556</v>
      </c>
      <c r="B415" s="1">
        <v>45124</v>
      </c>
      <c r="C415" t="s">
        <v>72</v>
      </c>
      <c r="D415" t="s">
        <v>73</v>
      </c>
      <c r="E415" t="s">
        <v>67</v>
      </c>
      <c r="F415" t="s">
        <v>68</v>
      </c>
      <c r="G415" t="s">
        <v>69</v>
      </c>
      <c r="H415" t="s">
        <v>147</v>
      </c>
      <c r="I415" t="s">
        <v>93</v>
      </c>
      <c r="J415">
        <v>6396.8</v>
      </c>
      <c r="K415">
        <v>4</v>
      </c>
      <c r="L415">
        <v>880.6</v>
      </c>
      <c r="M415" t="s">
        <v>22</v>
      </c>
      <c r="N415" t="s">
        <v>32</v>
      </c>
    </row>
    <row r="416" spans="1:14">
      <c r="A416" t="s">
        <v>557</v>
      </c>
      <c r="B416" s="1">
        <v>45276</v>
      </c>
      <c r="C416" t="s">
        <v>34</v>
      </c>
      <c r="D416" t="s">
        <v>35</v>
      </c>
      <c r="E416" t="s">
        <v>49</v>
      </c>
      <c r="F416" t="s">
        <v>49</v>
      </c>
      <c r="G416" t="s">
        <v>50</v>
      </c>
      <c r="H416" t="s">
        <v>137</v>
      </c>
      <c r="I416" t="s">
        <v>93</v>
      </c>
      <c r="J416">
        <v>3222</v>
      </c>
      <c r="K416">
        <v>2</v>
      </c>
      <c r="L416">
        <v>511.5</v>
      </c>
      <c r="M416" t="s">
        <v>22</v>
      </c>
      <c r="N416" t="s">
        <v>32</v>
      </c>
    </row>
    <row r="417" spans="1:14">
      <c r="A417" t="s">
        <v>558</v>
      </c>
      <c r="B417" s="1">
        <v>45070</v>
      </c>
      <c r="C417" t="s">
        <v>72</v>
      </c>
      <c r="D417" t="s">
        <v>73</v>
      </c>
      <c r="E417" t="s">
        <v>157</v>
      </c>
      <c r="F417" t="s">
        <v>158</v>
      </c>
      <c r="G417" t="s">
        <v>29</v>
      </c>
      <c r="H417" t="s">
        <v>126</v>
      </c>
      <c r="I417" t="s">
        <v>21</v>
      </c>
      <c r="J417">
        <v>95997.6</v>
      </c>
      <c r="K417">
        <v>3</v>
      </c>
      <c r="L417">
        <v>-3599.55</v>
      </c>
      <c r="M417" t="s">
        <v>63</v>
      </c>
      <c r="N417" t="s">
        <v>32</v>
      </c>
    </row>
    <row r="418" spans="1:14">
      <c r="A418" t="s">
        <v>559</v>
      </c>
      <c r="B418" s="1">
        <v>44994</v>
      </c>
      <c r="C418" t="s">
        <v>170</v>
      </c>
      <c r="D418" t="s">
        <v>171</v>
      </c>
      <c r="E418" t="s">
        <v>67</v>
      </c>
      <c r="F418" t="s">
        <v>68</v>
      </c>
      <c r="G418" t="s">
        <v>69</v>
      </c>
      <c r="H418" t="s">
        <v>30</v>
      </c>
      <c r="I418" t="s">
        <v>31</v>
      </c>
      <c r="J418">
        <v>3396</v>
      </c>
      <c r="K418">
        <v>4</v>
      </c>
      <c r="L418">
        <v>840</v>
      </c>
      <c r="M418" t="s">
        <v>22</v>
      </c>
      <c r="N418" t="s">
        <v>41</v>
      </c>
    </row>
    <row r="419" spans="1:14">
      <c r="A419" t="s">
        <v>560</v>
      </c>
      <c r="B419" s="1">
        <v>45225</v>
      </c>
      <c r="C419" t="s">
        <v>170</v>
      </c>
      <c r="D419" t="s">
        <v>171</v>
      </c>
      <c r="E419" t="s">
        <v>124</v>
      </c>
      <c r="F419" t="s">
        <v>125</v>
      </c>
      <c r="G419" t="s">
        <v>50</v>
      </c>
      <c r="H419" t="s">
        <v>230</v>
      </c>
      <c r="I419" t="s">
        <v>39</v>
      </c>
      <c r="J419">
        <v>649</v>
      </c>
      <c r="K419">
        <v>1</v>
      </c>
      <c r="L419">
        <v>220</v>
      </c>
      <c r="M419" t="s">
        <v>22</v>
      </c>
      <c r="N419" t="s">
        <v>32</v>
      </c>
    </row>
    <row r="420" spans="1:14">
      <c r="A420" t="s">
        <v>561</v>
      </c>
      <c r="B420" s="1">
        <v>45255</v>
      </c>
      <c r="C420" t="s">
        <v>145</v>
      </c>
      <c r="D420" t="s">
        <v>146</v>
      </c>
      <c r="E420" t="s">
        <v>17</v>
      </c>
      <c r="F420" t="s">
        <v>18</v>
      </c>
      <c r="G420" t="s">
        <v>19</v>
      </c>
      <c r="H420" t="s">
        <v>89</v>
      </c>
      <c r="I420" t="s">
        <v>21</v>
      </c>
      <c r="J420">
        <v>6836.2</v>
      </c>
      <c r="K420">
        <v>4</v>
      </c>
      <c r="L420">
        <v>1250.1500000000001</v>
      </c>
      <c r="M420" t="s">
        <v>22</v>
      </c>
      <c r="N420" t="s">
        <v>32</v>
      </c>
    </row>
    <row r="421" spans="1:14">
      <c r="A421" t="s">
        <v>562</v>
      </c>
      <c r="B421" s="1">
        <v>45241</v>
      </c>
      <c r="C421" t="s">
        <v>220</v>
      </c>
      <c r="D421" t="s">
        <v>221</v>
      </c>
      <c r="E421" t="s">
        <v>17</v>
      </c>
      <c r="F421" t="s">
        <v>18</v>
      </c>
      <c r="G421" t="s">
        <v>19</v>
      </c>
      <c r="H421" t="s">
        <v>99</v>
      </c>
      <c r="I421" t="s">
        <v>21</v>
      </c>
      <c r="J421">
        <v>2157.3000000000002</v>
      </c>
      <c r="K421">
        <v>3</v>
      </c>
      <c r="L421">
        <v>570.23</v>
      </c>
      <c r="M421" t="s">
        <v>52</v>
      </c>
      <c r="N421" t="s">
        <v>32</v>
      </c>
    </row>
    <row r="422" spans="1:14">
      <c r="A422" t="s">
        <v>563</v>
      </c>
      <c r="B422" s="1">
        <v>45087</v>
      </c>
      <c r="C422" t="s">
        <v>149</v>
      </c>
      <c r="D422" t="s">
        <v>150</v>
      </c>
      <c r="E422" t="s">
        <v>87</v>
      </c>
      <c r="F422" t="s">
        <v>88</v>
      </c>
      <c r="G422" t="s">
        <v>29</v>
      </c>
      <c r="H422" t="s">
        <v>58</v>
      </c>
      <c r="I422" t="s">
        <v>59</v>
      </c>
      <c r="J422">
        <v>897.75</v>
      </c>
      <c r="K422">
        <v>1</v>
      </c>
      <c r="L422">
        <v>174.56</v>
      </c>
      <c r="M422" t="s">
        <v>40</v>
      </c>
      <c r="N422" t="s">
        <v>32</v>
      </c>
    </row>
    <row r="423" spans="1:14">
      <c r="A423" t="s">
        <v>564</v>
      </c>
      <c r="B423" s="1">
        <v>44943</v>
      </c>
      <c r="C423" t="s">
        <v>122</v>
      </c>
      <c r="D423" t="s">
        <v>123</v>
      </c>
      <c r="E423" t="s">
        <v>49</v>
      </c>
      <c r="F423" t="s">
        <v>49</v>
      </c>
      <c r="G423" t="s">
        <v>50</v>
      </c>
      <c r="H423" t="s">
        <v>117</v>
      </c>
      <c r="I423" t="s">
        <v>93</v>
      </c>
      <c r="J423">
        <v>2299</v>
      </c>
      <c r="K423">
        <v>1</v>
      </c>
      <c r="L423">
        <v>-180</v>
      </c>
      <c r="M423" t="s">
        <v>63</v>
      </c>
      <c r="N423" t="s">
        <v>32</v>
      </c>
    </row>
    <row r="424" spans="1:14">
      <c r="A424" t="s">
        <v>565</v>
      </c>
      <c r="B424" s="1">
        <v>45208</v>
      </c>
      <c r="C424" t="s">
        <v>145</v>
      </c>
      <c r="D424" t="s">
        <v>146</v>
      </c>
      <c r="E424" t="s">
        <v>87</v>
      </c>
      <c r="F424" t="s">
        <v>88</v>
      </c>
      <c r="G424" t="s">
        <v>29</v>
      </c>
      <c r="H424" t="s">
        <v>45</v>
      </c>
      <c r="I424" t="s">
        <v>21</v>
      </c>
      <c r="J424">
        <v>1039.2</v>
      </c>
      <c r="K424">
        <v>1</v>
      </c>
      <c r="L424">
        <v>125.15</v>
      </c>
      <c r="M424" t="s">
        <v>63</v>
      </c>
      <c r="N424" t="s">
        <v>32</v>
      </c>
    </row>
    <row r="425" spans="1:14">
      <c r="A425" t="s">
        <v>566</v>
      </c>
      <c r="B425" s="1">
        <v>45239</v>
      </c>
      <c r="C425" t="s">
        <v>15</v>
      </c>
      <c r="D425" t="s">
        <v>16</v>
      </c>
      <c r="E425" t="s">
        <v>87</v>
      </c>
      <c r="F425" t="s">
        <v>88</v>
      </c>
      <c r="G425" t="s">
        <v>29</v>
      </c>
      <c r="H425" t="s">
        <v>99</v>
      </c>
      <c r="I425" t="s">
        <v>21</v>
      </c>
      <c r="J425">
        <v>2277.15</v>
      </c>
      <c r="K425">
        <v>3</v>
      </c>
      <c r="L425">
        <v>660.11</v>
      </c>
      <c r="M425" t="s">
        <v>90</v>
      </c>
      <c r="N425" t="s">
        <v>41</v>
      </c>
    </row>
    <row r="426" spans="1:14">
      <c r="A426" t="s">
        <v>567</v>
      </c>
      <c r="B426" s="1">
        <v>45221</v>
      </c>
      <c r="C426" t="s">
        <v>15</v>
      </c>
      <c r="D426" t="s">
        <v>16</v>
      </c>
      <c r="E426" t="s">
        <v>141</v>
      </c>
      <c r="F426" t="s">
        <v>142</v>
      </c>
      <c r="G426" t="s">
        <v>50</v>
      </c>
      <c r="H426" t="s">
        <v>115</v>
      </c>
      <c r="I426" t="s">
        <v>93</v>
      </c>
      <c r="J426">
        <v>2158.1999999999998</v>
      </c>
      <c r="K426">
        <v>2</v>
      </c>
      <c r="L426">
        <v>400.15</v>
      </c>
      <c r="M426" t="s">
        <v>22</v>
      </c>
      <c r="N426" t="s">
        <v>32</v>
      </c>
    </row>
    <row r="427" spans="1:14">
      <c r="A427" t="s">
        <v>568</v>
      </c>
      <c r="B427" s="1">
        <v>45027</v>
      </c>
      <c r="C427" t="s">
        <v>119</v>
      </c>
      <c r="D427" t="s">
        <v>120</v>
      </c>
      <c r="E427" t="s">
        <v>56</v>
      </c>
      <c r="F427" t="s">
        <v>57</v>
      </c>
      <c r="G427" t="s">
        <v>50</v>
      </c>
      <c r="H427" t="s">
        <v>99</v>
      </c>
      <c r="I427" t="s">
        <v>21</v>
      </c>
      <c r="J427">
        <v>3196</v>
      </c>
      <c r="K427">
        <v>4</v>
      </c>
      <c r="L427">
        <v>1000</v>
      </c>
      <c r="M427" t="s">
        <v>40</v>
      </c>
      <c r="N427" t="s">
        <v>32</v>
      </c>
    </row>
    <row r="428" spans="1:14">
      <c r="A428" t="s">
        <v>569</v>
      </c>
      <c r="B428" s="1">
        <v>44992</v>
      </c>
      <c r="C428" t="s">
        <v>113</v>
      </c>
      <c r="D428" t="s">
        <v>114</v>
      </c>
      <c r="E428" t="s">
        <v>17</v>
      </c>
      <c r="F428" t="s">
        <v>18</v>
      </c>
      <c r="G428" t="s">
        <v>19</v>
      </c>
      <c r="H428" t="s">
        <v>189</v>
      </c>
      <c r="I428" t="s">
        <v>59</v>
      </c>
      <c r="J428">
        <v>1480</v>
      </c>
      <c r="K428">
        <v>1</v>
      </c>
      <c r="L428">
        <v>62.5</v>
      </c>
      <c r="M428" t="s">
        <v>40</v>
      </c>
      <c r="N428" t="s">
        <v>32</v>
      </c>
    </row>
    <row r="429" spans="1:14">
      <c r="A429" t="s">
        <v>570</v>
      </c>
      <c r="B429" s="1">
        <v>45003</v>
      </c>
      <c r="C429" t="s">
        <v>81</v>
      </c>
      <c r="D429" t="s">
        <v>82</v>
      </c>
      <c r="E429" t="s">
        <v>87</v>
      </c>
      <c r="F429" t="s">
        <v>88</v>
      </c>
      <c r="G429" t="s">
        <v>29</v>
      </c>
      <c r="H429" t="s">
        <v>215</v>
      </c>
      <c r="I429" t="s">
        <v>59</v>
      </c>
      <c r="J429">
        <v>25996</v>
      </c>
      <c r="K429">
        <v>4</v>
      </c>
      <c r="L429">
        <v>3800</v>
      </c>
      <c r="M429" t="s">
        <v>22</v>
      </c>
      <c r="N429" t="s">
        <v>32</v>
      </c>
    </row>
    <row r="430" spans="1:14">
      <c r="A430" t="s">
        <v>571</v>
      </c>
      <c r="B430" s="1">
        <v>44977</v>
      </c>
      <c r="C430" t="s">
        <v>61</v>
      </c>
      <c r="D430" t="s">
        <v>62</v>
      </c>
      <c r="E430" t="s">
        <v>95</v>
      </c>
      <c r="F430" t="s">
        <v>96</v>
      </c>
      <c r="G430" t="s">
        <v>19</v>
      </c>
      <c r="H430" t="s">
        <v>117</v>
      </c>
      <c r="I430" t="s">
        <v>93</v>
      </c>
      <c r="J430">
        <v>4138.2</v>
      </c>
      <c r="K430">
        <v>2</v>
      </c>
      <c r="L430">
        <v>-704.85</v>
      </c>
      <c r="M430" t="s">
        <v>40</v>
      </c>
      <c r="N430" t="s">
        <v>32</v>
      </c>
    </row>
    <row r="431" spans="1:14">
      <c r="A431" t="s">
        <v>572</v>
      </c>
      <c r="B431" s="1">
        <v>45117</v>
      </c>
      <c r="C431" t="s">
        <v>122</v>
      </c>
      <c r="D431" t="s">
        <v>123</v>
      </c>
      <c r="E431" t="s">
        <v>56</v>
      </c>
      <c r="F431" t="s">
        <v>57</v>
      </c>
      <c r="G431" t="s">
        <v>50</v>
      </c>
      <c r="H431" t="s">
        <v>261</v>
      </c>
      <c r="I431" t="s">
        <v>21</v>
      </c>
      <c r="J431">
        <v>87996</v>
      </c>
      <c r="K431">
        <v>4</v>
      </c>
      <c r="L431">
        <v>9600</v>
      </c>
      <c r="M431" t="s">
        <v>22</v>
      </c>
      <c r="N431" t="s">
        <v>32</v>
      </c>
    </row>
    <row r="432" spans="1:14">
      <c r="A432" t="s">
        <v>573</v>
      </c>
      <c r="B432" s="1">
        <v>45217</v>
      </c>
      <c r="C432" t="s">
        <v>170</v>
      </c>
      <c r="D432" t="s">
        <v>171</v>
      </c>
      <c r="E432" t="s">
        <v>56</v>
      </c>
      <c r="F432" t="s">
        <v>57</v>
      </c>
      <c r="G432" t="s">
        <v>50</v>
      </c>
      <c r="H432" t="s">
        <v>143</v>
      </c>
      <c r="I432" t="s">
        <v>59</v>
      </c>
      <c r="J432">
        <v>7677.6</v>
      </c>
      <c r="K432">
        <v>3</v>
      </c>
      <c r="L432">
        <v>210.45</v>
      </c>
      <c r="M432" t="s">
        <v>22</v>
      </c>
      <c r="N432" t="s">
        <v>32</v>
      </c>
    </row>
    <row r="433" spans="1:14">
      <c r="A433" t="s">
        <v>574</v>
      </c>
      <c r="B433" s="1">
        <v>44999</v>
      </c>
      <c r="C433" t="s">
        <v>132</v>
      </c>
      <c r="D433" t="s">
        <v>133</v>
      </c>
      <c r="E433" t="s">
        <v>124</v>
      </c>
      <c r="F433" t="s">
        <v>125</v>
      </c>
      <c r="G433" t="s">
        <v>50</v>
      </c>
      <c r="H433" t="s">
        <v>89</v>
      </c>
      <c r="I433" t="s">
        <v>21</v>
      </c>
      <c r="J433">
        <v>1709.05</v>
      </c>
      <c r="K433">
        <v>1</v>
      </c>
      <c r="L433">
        <v>312.54000000000002</v>
      </c>
      <c r="M433" t="s">
        <v>40</v>
      </c>
      <c r="N433" t="s">
        <v>32</v>
      </c>
    </row>
    <row r="434" spans="1:14">
      <c r="A434" t="s">
        <v>575</v>
      </c>
      <c r="B434" s="1">
        <v>45261</v>
      </c>
      <c r="C434" t="s">
        <v>65</v>
      </c>
      <c r="D434" t="s">
        <v>66</v>
      </c>
      <c r="E434" t="s">
        <v>49</v>
      </c>
      <c r="F434" t="s">
        <v>49</v>
      </c>
      <c r="G434" t="s">
        <v>50</v>
      </c>
      <c r="H434" t="s">
        <v>261</v>
      </c>
      <c r="I434" t="s">
        <v>21</v>
      </c>
      <c r="J434">
        <v>70396.800000000003</v>
      </c>
      <c r="K434">
        <v>4</v>
      </c>
      <c r="L434">
        <v>-3599.4</v>
      </c>
      <c r="M434" t="s">
        <v>40</v>
      </c>
      <c r="N434" t="s">
        <v>32</v>
      </c>
    </row>
    <row r="435" spans="1:14">
      <c r="A435" t="s">
        <v>576</v>
      </c>
      <c r="B435" s="1">
        <v>45226</v>
      </c>
      <c r="C435" t="s">
        <v>227</v>
      </c>
      <c r="D435" t="s">
        <v>228</v>
      </c>
      <c r="E435" t="s">
        <v>98</v>
      </c>
      <c r="F435" t="s">
        <v>68</v>
      </c>
      <c r="G435" t="s">
        <v>69</v>
      </c>
      <c r="H435" t="s">
        <v>105</v>
      </c>
      <c r="I435" t="s">
        <v>59</v>
      </c>
      <c r="J435">
        <v>9999.2000000000007</v>
      </c>
      <c r="K435">
        <v>1</v>
      </c>
      <c r="L435">
        <v>-3324.85</v>
      </c>
      <c r="M435" t="s">
        <v>90</v>
      </c>
      <c r="N435" t="s">
        <v>32</v>
      </c>
    </row>
    <row r="436" spans="1:14">
      <c r="A436" t="s">
        <v>577</v>
      </c>
      <c r="B436" s="1">
        <v>45290</v>
      </c>
      <c r="C436" t="s">
        <v>175</v>
      </c>
      <c r="D436" t="s">
        <v>176</v>
      </c>
      <c r="E436" t="s">
        <v>27</v>
      </c>
      <c r="F436" t="s">
        <v>28</v>
      </c>
      <c r="G436" t="s">
        <v>29</v>
      </c>
      <c r="H436" t="s">
        <v>74</v>
      </c>
      <c r="I436" t="s">
        <v>31</v>
      </c>
      <c r="J436">
        <v>124768</v>
      </c>
      <c r="K436">
        <v>4</v>
      </c>
      <c r="L436">
        <v>-6994</v>
      </c>
      <c r="M436" t="s">
        <v>40</v>
      </c>
      <c r="N436" t="s">
        <v>32</v>
      </c>
    </row>
    <row r="437" spans="1:14">
      <c r="A437" t="s">
        <v>578</v>
      </c>
      <c r="B437" s="1">
        <v>45049</v>
      </c>
      <c r="C437" t="s">
        <v>47</v>
      </c>
      <c r="D437" t="s">
        <v>48</v>
      </c>
      <c r="E437" t="s">
        <v>157</v>
      </c>
      <c r="F437" t="s">
        <v>158</v>
      </c>
      <c r="G437" t="s">
        <v>29</v>
      </c>
      <c r="H437" t="s">
        <v>51</v>
      </c>
      <c r="I437" t="s">
        <v>31</v>
      </c>
      <c r="J437">
        <v>25647.15</v>
      </c>
      <c r="K437">
        <v>3</v>
      </c>
      <c r="L437">
        <v>2587.61</v>
      </c>
      <c r="M437" t="s">
        <v>90</v>
      </c>
      <c r="N437" t="s">
        <v>32</v>
      </c>
    </row>
    <row r="438" spans="1:14">
      <c r="A438" t="s">
        <v>579</v>
      </c>
      <c r="B438" s="1">
        <v>45259</v>
      </c>
      <c r="C438" t="s">
        <v>122</v>
      </c>
      <c r="D438" t="s">
        <v>123</v>
      </c>
      <c r="E438" t="s">
        <v>17</v>
      </c>
      <c r="F438" t="s">
        <v>18</v>
      </c>
      <c r="G438" t="s">
        <v>19</v>
      </c>
      <c r="H438" t="s">
        <v>58</v>
      </c>
      <c r="I438" t="s">
        <v>59</v>
      </c>
      <c r="J438">
        <v>1890</v>
      </c>
      <c r="K438">
        <v>2</v>
      </c>
      <c r="L438">
        <v>420</v>
      </c>
      <c r="M438" t="s">
        <v>22</v>
      </c>
      <c r="N438" t="s">
        <v>130</v>
      </c>
    </row>
    <row r="439" spans="1:14">
      <c r="A439" t="s">
        <v>580</v>
      </c>
      <c r="B439" s="1">
        <v>45083</v>
      </c>
      <c r="C439" t="s">
        <v>202</v>
      </c>
      <c r="D439" t="s">
        <v>203</v>
      </c>
      <c r="E439" t="s">
        <v>49</v>
      </c>
      <c r="F439" t="s">
        <v>49</v>
      </c>
      <c r="G439" t="s">
        <v>50</v>
      </c>
      <c r="H439" t="s">
        <v>79</v>
      </c>
      <c r="I439" t="s">
        <v>31</v>
      </c>
      <c r="J439">
        <v>151164</v>
      </c>
      <c r="K439">
        <v>4</v>
      </c>
      <c r="L439">
        <v>5403</v>
      </c>
      <c r="M439" t="s">
        <v>90</v>
      </c>
      <c r="N439" t="s">
        <v>32</v>
      </c>
    </row>
    <row r="440" spans="1:14">
      <c r="A440" t="s">
        <v>581</v>
      </c>
      <c r="B440" s="1">
        <v>45000</v>
      </c>
      <c r="C440" t="s">
        <v>122</v>
      </c>
      <c r="D440" t="s">
        <v>123</v>
      </c>
      <c r="E440" t="s">
        <v>49</v>
      </c>
      <c r="F440" t="s">
        <v>49</v>
      </c>
      <c r="G440" t="s">
        <v>50</v>
      </c>
      <c r="H440" t="s">
        <v>111</v>
      </c>
      <c r="I440" t="s">
        <v>59</v>
      </c>
      <c r="J440">
        <v>764.15</v>
      </c>
      <c r="K440">
        <v>1</v>
      </c>
      <c r="L440">
        <v>-221.14</v>
      </c>
      <c r="M440" t="s">
        <v>22</v>
      </c>
      <c r="N440" t="s">
        <v>32</v>
      </c>
    </row>
    <row r="441" spans="1:14">
      <c r="A441" t="s">
        <v>582</v>
      </c>
      <c r="B441" s="1">
        <v>45115</v>
      </c>
      <c r="C441" t="s">
        <v>54</v>
      </c>
      <c r="D441" t="s">
        <v>55</v>
      </c>
      <c r="E441" t="s">
        <v>87</v>
      </c>
      <c r="F441" t="s">
        <v>88</v>
      </c>
      <c r="G441" t="s">
        <v>29</v>
      </c>
      <c r="H441" t="s">
        <v>164</v>
      </c>
      <c r="I441" t="s">
        <v>39</v>
      </c>
      <c r="J441">
        <v>4047.3</v>
      </c>
      <c r="K441">
        <v>3</v>
      </c>
      <c r="L441">
        <v>742.72</v>
      </c>
      <c r="M441" t="s">
        <v>22</v>
      </c>
      <c r="N441" t="s">
        <v>32</v>
      </c>
    </row>
    <row r="442" spans="1:14">
      <c r="A442" t="s">
        <v>583</v>
      </c>
      <c r="B442" s="1">
        <v>45289</v>
      </c>
      <c r="C442" t="s">
        <v>122</v>
      </c>
      <c r="D442" t="s">
        <v>123</v>
      </c>
      <c r="E442" t="s">
        <v>124</v>
      </c>
      <c r="F442" t="s">
        <v>125</v>
      </c>
      <c r="G442" t="s">
        <v>50</v>
      </c>
      <c r="H442" t="s">
        <v>109</v>
      </c>
      <c r="I442" t="s">
        <v>31</v>
      </c>
      <c r="J442">
        <v>156721.5</v>
      </c>
      <c r="K442">
        <v>3</v>
      </c>
      <c r="L442">
        <v>11213.62</v>
      </c>
      <c r="M442" t="s">
        <v>22</v>
      </c>
      <c r="N442" t="s">
        <v>32</v>
      </c>
    </row>
    <row r="443" spans="1:14">
      <c r="A443" t="s">
        <v>584</v>
      </c>
      <c r="B443" s="1">
        <v>45190</v>
      </c>
      <c r="C443" t="s">
        <v>145</v>
      </c>
      <c r="D443" t="s">
        <v>146</v>
      </c>
      <c r="E443" t="s">
        <v>98</v>
      </c>
      <c r="F443" t="s">
        <v>68</v>
      </c>
      <c r="G443" t="s">
        <v>69</v>
      </c>
      <c r="H443" t="s">
        <v>51</v>
      </c>
      <c r="I443" t="s">
        <v>31</v>
      </c>
      <c r="J443">
        <v>8549.0499999999993</v>
      </c>
      <c r="K443">
        <v>1</v>
      </c>
      <c r="L443">
        <v>862.54</v>
      </c>
      <c r="M443" t="s">
        <v>22</v>
      </c>
      <c r="N443" t="s">
        <v>41</v>
      </c>
    </row>
    <row r="444" spans="1:14">
      <c r="A444" t="s">
        <v>585</v>
      </c>
      <c r="B444" s="1">
        <v>45097</v>
      </c>
      <c r="C444" t="s">
        <v>54</v>
      </c>
      <c r="D444" t="s">
        <v>55</v>
      </c>
      <c r="E444" t="s">
        <v>49</v>
      </c>
      <c r="F444" t="s">
        <v>49</v>
      </c>
      <c r="G444" t="s">
        <v>50</v>
      </c>
      <c r="H444" t="s">
        <v>215</v>
      </c>
      <c r="I444" t="s">
        <v>59</v>
      </c>
      <c r="J444">
        <v>6174.05</v>
      </c>
      <c r="K444">
        <v>1</v>
      </c>
      <c r="L444">
        <v>-926.11</v>
      </c>
      <c r="M444" t="s">
        <v>63</v>
      </c>
      <c r="N444" t="s">
        <v>75</v>
      </c>
    </row>
    <row r="445" spans="1:14">
      <c r="A445" t="s">
        <v>586</v>
      </c>
      <c r="B445" s="1">
        <v>45041</v>
      </c>
      <c r="C445" t="s">
        <v>15</v>
      </c>
      <c r="D445" t="s">
        <v>16</v>
      </c>
      <c r="E445" t="s">
        <v>95</v>
      </c>
      <c r="F445" t="s">
        <v>96</v>
      </c>
      <c r="G445" t="s">
        <v>19</v>
      </c>
      <c r="H445" t="s">
        <v>38</v>
      </c>
      <c r="I445" t="s">
        <v>39</v>
      </c>
      <c r="J445">
        <v>1347.3</v>
      </c>
      <c r="K445">
        <v>3</v>
      </c>
      <c r="L445">
        <v>367.73</v>
      </c>
      <c r="M445" t="s">
        <v>22</v>
      </c>
      <c r="N445" t="s">
        <v>130</v>
      </c>
    </row>
    <row r="446" spans="1:14">
      <c r="A446" t="s">
        <v>587</v>
      </c>
      <c r="B446" s="1">
        <v>45070</v>
      </c>
      <c r="C446" t="s">
        <v>15</v>
      </c>
      <c r="D446" t="s">
        <v>16</v>
      </c>
      <c r="E446" t="s">
        <v>98</v>
      </c>
      <c r="F446" t="s">
        <v>68</v>
      </c>
      <c r="G446" t="s">
        <v>69</v>
      </c>
      <c r="H446" t="s">
        <v>58</v>
      </c>
      <c r="I446" t="s">
        <v>59</v>
      </c>
      <c r="J446">
        <v>1795.5</v>
      </c>
      <c r="K446">
        <v>2</v>
      </c>
      <c r="L446">
        <v>349.12</v>
      </c>
      <c r="M446" t="s">
        <v>63</v>
      </c>
      <c r="N446" t="s">
        <v>32</v>
      </c>
    </row>
    <row r="447" spans="1:14">
      <c r="A447" t="s">
        <v>588</v>
      </c>
      <c r="B447" s="1">
        <v>45187</v>
      </c>
      <c r="C447" t="s">
        <v>132</v>
      </c>
      <c r="D447" t="s">
        <v>133</v>
      </c>
      <c r="E447" t="s">
        <v>49</v>
      </c>
      <c r="F447" t="s">
        <v>49</v>
      </c>
      <c r="G447" t="s">
        <v>50</v>
      </c>
      <c r="H447" t="s">
        <v>74</v>
      </c>
      <c r="I447" t="s">
        <v>31</v>
      </c>
      <c r="J447">
        <v>31192</v>
      </c>
      <c r="K447">
        <v>1</v>
      </c>
      <c r="L447">
        <v>-1748.5</v>
      </c>
      <c r="M447" t="s">
        <v>63</v>
      </c>
      <c r="N447" t="s">
        <v>32</v>
      </c>
    </row>
    <row r="448" spans="1:14">
      <c r="A448" t="s">
        <v>589</v>
      </c>
      <c r="B448" s="1">
        <v>45127</v>
      </c>
      <c r="C448" t="s">
        <v>122</v>
      </c>
      <c r="D448" t="s">
        <v>123</v>
      </c>
      <c r="E448" t="s">
        <v>56</v>
      </c>
      <c r="F448" t="s">
        <v>57</v>
      </c>
      <c r="G448" t="s">
        <v>50</v>
      </c>
      <c r="H448" t="s">
        <v>189</v>
      </c>
      <c r="I448" t="s">
        <v>59</v>
      </c>
      <c r="J448">
        <v>7030</v>
      </c>
      <c r="K448">
        <v>4</v>
      </c>
      <c r="L448">
        <v>1082.5</v>
      </c>
      <c r="M448" t="s">
        <v>63</v>
      </c>
      <c r="N448" t="s">
        <v>41</v>
      </c>
    </row>
    <row r="449" spans="1:14">
      <c r="A449" t="s">
        <v>590</v>
      </c>
      <c r="B449" s="1">
        <v>45058</v>
      </c>
      <c r="C449" t="s">
        <v>54</v>
      </c>
      <c r="D449" t="s">
        <v>55</v>
      </c>
      <c r="E449" t="s">
        <v>87</v>
      </c>
      <c r="F449" t="s">
        <v>88</v>
      </c>
      <c r="G449" t="s">
        <v>29</v>
      </c>
      <c r="H449" t="s">
        <v>99</v>
      </c>
      <c r="I449" t="s">
        <v>21</v>
      </c>
      <c r="J449">
        <v>2556.8000000000002</v>
      </c>
      <c r="K449">
        <v>4</v>
      </c>
      <c r="L449">
        <v>520.6</v>
      </c>
      <c r="M449" t="s">
        <v>22</v>
      </c>
      <c r="N449" t="s">
        <v>32</v>
      </c>
    </row>
    <row r="450" spans="1:14">
      <c r="A450" t="s">
        <v>591</v>
      </c>
      <c r="B450" s="1">
        <v>45040</v>
      </c>
      <c r="C450" t="s">
        <v>113</v>
      </c>
      <c r="D450" t="s">
        <v>114</v>
      </c>
      <c r="E450" t="s">
        <v>56</v>
      </c>
      <c r="F450" t="s">
        <v>57</v>
      </c>
      <c r="G450" t="s">
        <v>50</v>
      </c>
      <c r="H450" t="s">
        <v>137</v>
      </c>
      <c r="I450" t="s">
        <v>93</v>
      </c>
      <c r="J450">
        <v>4833</v>
      </c>
      <c r="K450">
        <v>3</v>
      </c>
      <c r="L450">
        <v>767.25</v>
      </c>
      <c r="M450" t="s">
        <v>22</v>
      </c>
      <c r="N450" t="s">
        <v>32</v>
      </c>
    </row>
    <row r="451" spans="1:14">
      <c r="A451" t="s">
        <v>592</v>
      </c>
      <c r="B451" s="1">
        <v>45278</v>
      </c>
      <c r="C451" t="s">
        <v>65</v>
      </c>
      <c r="D451" t="s">
        <v>66</v>
      </c>
      <c r="E451" t="s">
        <v>95</v>
      </c>
      <c r="F451" t="s">
        <v>96</v>
      </c>
      <c r="G451" t="s">
        <v>19</v>
      </c>
      <c r="H451" t="s">
        <v>154</v>
      </c>
      <c r="I451" t="s">
        <v>93</v>
      </c>
      <c r="J451">
        <v>1230.25</v>
      </c>
      <c r="K451">
        <v>1</v>
      </c>
      <c r="L451">
        <v>-184.54</v>
      </c>
      <c r="M451" t="s">
        <v>90</v>
      </c>
      <c r="N451" t="s">
        <v>75</v>
      </c>
    </row>
    <row r="452" spans="1:14">
      <c r="A452" t="s">
        <v>593</v>
      </c>
      <c r="B452" s="1">
        <v>45212</v>
      </c>
      <c r="C452" t="s">
        <v>145</v>
      </c>
      <c r="D452" t="s">
        <v>146</v>
      </c>
      <c r="E452" t="s">
        <v>95</v>
      </c>
      <c r="F452" t="s">
        <v>96</v>
      </c>
      <c r="G452" t="s">
        <v>19</v>
      </c>
      <c r="H452" t="s">
        <v>117</v>
      </c>
      <c r="I452" t="s">
        <v>93</v>
      </c>
      <c r="J452">
        <v>6897</v>
      </c>
      <c r="K452">
        <v>3</v>
      </c>
      <c r="L452">
        <v>-540</v>
      </c>
      <c r="M452" t="s">
        <v>22</v>
      </c>
      <c r="N452" t="s">
        <v>32</v>
      </c>
    </row>
    <row r="453" spans="1:14">
      <c r="A453" t="s">
        <v>594</v>
      </c>
      <c r="B453" s="1">
        <v>45276</v>
      </c>
      <c r="C453" t="s">
        <v>149</v>
      </c>
      <c r="D453" t="s">
        <v>150</v>
      </c>
      <c r="E453" t="s">
        <v>141</v>
      </c>
      <c r="F453" t="s">
        <v>142</v>
      </c>
      <c r="G453" t="s">
        <v>50</v>
      </c>
      <c r="H453" t="s">
        <v>111</v>
      </c>
      <c r="I453" t="s">
        <v>59</v>
      </c>
      <c r="J453">
        <v>809.1</v>
      </c>
      <c r="K453">
        <v>1</v>
      </c>
      <c r="L453">
        <v>-187.43</v>
      </c>
      <c r="M453" t="s">
        <v>63</v>
      </c>
      <c r="N453" t="s">
        <v>32</v>
      </c>
    </row>
    <row r="454" spans="1:14">
      <c r="A454" t="s">
        <v>595</v>
      </c>
      <c r="B454" s="1">
        <v>45094</v>
      </c>
      <c r="C454" t="s">
        <v>202</v>
      </c>
      <c r="D454" t="s">
        <v>203</v>
      </c>
      <c r="E454" t="s">
        <v>95</v>
      </c>
      <c r="F454" t="s">
        <v>96</v>
      </c>
      <c r="G454" t="s">
        <v>19</v>
      </c>
      <c r="H454" t="s">
        <v>45</v>
      </c>
      <c r="I454" t="s">
        <v>21</v>
      </c>
      <c r="J454">
        <v>2468.1</v>
      </c>
      <c r="K454">
        <v>2</v>
      </c>
      <c r="L454">
        <v>542.58000000000004</v>
      </c>
      <c r="M454" t="s">
        <v>22</v>
      </c>
      <c r="N454" t="s">
        <v>32</v>
      </c>
    </row>
    <row r="455" spans="1:14">
      <c r="A455" t="s">
        <v>596</v>
      </c>
      <c r="B455" s="1">
        <v>45024</v>
      </c>
      <c r="C455" t="s">
        <v>61</v>
      </c>
      <c r="D455" t="s">
        <v>62</v>
      </c>
      <c r="E455" t="s">
        <v>87</v>
      </c>
      <c r="F455" t="s">
        <v>88</v>
      </c>
      <c r="G455" t="s">
        <v>29</v>
      </c>
      <c r="H455" t="s">
        <v>38</v>
      </c>
      <c r="I455" t="s">
        <v>39</v>
      </c>
      <c r="J455">
        <v>1347.3</v>
      </c>
      <c r="K455">
        <v>3</v>
      </c>
      <c r="L455">
        <v>367.73</v>
      </c>
      <c r="M455" t="s">
        <v>52</v>
      </c>
      <c r="N455" t="s">
        <v>32</v>
      </c>
    </row>
    <row r="456" spans="1:14">
      <c r="A456" t="s">
        <v>597</v>
      </c>
      <c r="B456" s="1">
        <v>45253</v>
      </c>
      <c r="C456" t="s">
        <v>61</v>
      </c>
      <c r="D456" t="s">
        <v>62</v>
      </c>
      <c r="E456" t="s">
        <v>135</v>
      </c>
      <c r="F456" t="s">
        <v>136</v>
      </c>
      <c r="G456" t="s">
        <v>69</v>
      </c>
      <c r="H456" t="s">
        <v>206</v>
      </c>
      <c r="I456" t="s">
        <v>21</v>
      </c>
      <c r="J456">
        <v>61749.05</v>
      </c>
      <c r="K456">
        <v>1</v>
      </c>
      <c r="L456">
        <v>4762.54</v>
      </c>
      <c r="M456" t="s">
        <v>40</v>
      </c>
      <c r="N456" t="s">
        <v>32</v>
      </c>
    </row>
    <row r="457" spans="1:14">
      <c r="A457" t="s">
        <v>598</v>
      </c>
      <c r="B457" s="1">
        <v>45028</v>
      </c>
      <c r="C457" t="s">
        <v>113</v>
      </c>
      <c r="D457" t="s">
        <v>114</v>
      </c>
      <c r="E457" t="s">
        <v>157</v>
      </c>
      <c r="F457" t="s">
        <v>158</v>
      </c>
      <c r="G457" t="s">
        <v>29</v>
      </c>
      <c r="H457" t="s">
        <v>38</v>
      </c>
      <c r="I457" t="s">
        <v>39</v>
      </c>
      <c r="J457">
        <v>499</v>
      </c>
      <c r="K457">
        <v>1</v>
      </c>
      <c r="L457">
        <v>160</v>
      </c>
      <c r="M457" t="s">
        <v>22</v>
      </c>
      <c r="N457" t="s">
        <v>32</v>
      </c>
    </row>
    <row r="458" spans="1:14">
      <c r="A458" t="s">
        <v>599</v>
      </c>
      <c r="B458" s="1">
        <v>45185</v>
      </c>
      <c r="C458" t="s">
        <v>119</v>
      </c>
      <c r="D458" t="s">
        <v>120</v>
      </c>
      <c r="E458" t="s">
        <v>124</v>
      </c>
      <c r="F458" t="s">
        <v>125</v>
      </c>
      <c r="G458" t="s">
        <v>50</v>
      </c>
      <c r="H458" t="s">
        <v>261</v>
      </c>
      <c r="I458" t="s">
        <v>21</v>
      </c>
      <c r="J458">
        <v>39598.199999999997</v>
      </c>
      <c r="K458">
        <v>2</v>
      </c>
      <c r="L458">
        <v>1500.15</v>
      </c>
      <c r="M458" t="s">
        <v>63</v>
      </c>
      <c r="N458" t="s">
        <v>130</v>
      </c>
    </row>
    <row r="459" spans="1:14">
      <c r="A459" t="s">
        <v>600</v>
      </c>
      <c r="B459" s="1">
        <v>44992</v>
      </c>
      <c r="C459" t="s">
        <v>25</v>
      </c>
      <c r="D459" t="s">
        <v>26</v>
      </c>
      <c r="E459" t="s">
        <v>141</v>
      </c>
      <c r="F459" t="s">
        <v>142</v>
      </c>
      <c r="G459" t="s">
        <v>50</v>
      </c>
      <c r="H459" t="s">
        <v>137</v>
      </c>
      <c r="I459" t="s">
        <v>93</v>
      </c>
      <c r="J459">
        <v>3580</v>
      </c>
      <c r="K459">
        <v>2</v>
      </c>
      <c r="L459">
        <v>780</v>
      </c>
      <c r="M459" t="s">
        <v>22</v>
      </c>
      <c r="N459" t="s">
        <v>32</v>
      </c>
    </row>
    <row r="460" spans="1:14">
      <c r="A460" t="s">
        <v>601</v>
      </c>
      <c r="B460" s="1">
        <v>45152</v>
      </c>
      <c r="C460" t="s">
        <v>47</v>
      </c>
      <c r="D460" t="s">
        <v>48</v>
      </c>
      <c r="E460" t="s">
        <v>67</v>
      </c>
      <c r="F460" t="s">
        <v>68</v>
      </c>
      <c r="G460" t="s">
        <v>69</v>
      </c>
      <c r="H460" t="s">
        <v>206</v>
      </c>
      <c r="I460" t="s">
        <v>21</v>
      </c>
      <c r="J460">
        <v>185247.15</v>
      </c>
      <c r="K460">
        <v>3</v>
      </c>
      <c r="L460">
        <v>14287.61</v>
      </c>
      <c r="M460" t="s">
        <v>40</v>
      </c>
      <c r="N460" t="s">
        <v>41</v>
      </c>
    </row>
    <row r="461" spans="1:14">
      <c r="A461" t="s">
        <v>602</v>
      </c>
      <c r="B461" s="1">
        <v>45186</v>
      </c>
      <c r="C461" t="s">
        <v>47</v>
      </c>
      <c r="D461" t="s">
        <v>48</v>
      </c>
      <c r="E461" t="s">
        <v>87</v>
      </c>
      <c r="F461" t="s">
        <v>88</v>
      </c>
      <c r="G461" t="s">
        <v>29</v>
      </c>
      <c r="H461" t="s">
        <v>111</v>
      </c>
      <c r="I461" t="s">
        <v>59</v>
      </c>
      <c r="J461">
        <v>1438.4</v>
      </c>
      <c r="K461">
        <v>2</v>
      </c>
      <c r="L461">
        <v>-509.7</v>
      </c>
      <c r="M461" t="s">
        <v>63</v>
      </c>
      <c r="N461" t="s">
        <v>130</v>
      </c>
    </row>
    <row r="462" spans="1:14">
      <c r="A462" t="s">
        <v>603</v>
      </c>
      <c r="B462" s="1">
        <v>45251</v>
      </c>
      <c r="C462" t="s">
        <v>119</v>
      </c>
      <c r="D462" t="s">
        <v>120</v>
      </c>
      <c r="E462" t="s">
        <v>87</v>
      </c>
      <c r="F462" t="s">
        <v>88</v>
      </c>
      <c r="G462" t="s">
        <v>29</v>
      </c>
      <c r="H462" t="s">
        <v>230</v>
      </c>
      <c r="I462" t="s">
        <v>39</v>
      </c>
      <c r="J462">
        <v>1654.95</v>
      </c>
      <c r="K462">
        <v>3</v>
      </c>
      <c r="L462">
        <v>440.96</v>
      </c>
      <c r="M462" t="s">
        <v>63</v>
      </c>
      <c r="N462" t="s">
        <v>32</v>
      </c>
    </row>
    <row r="463" spans="1:14">
      <c r="A463" t="s">
        <v>604</v>
      </c>
      <c r="B463" s="1">
        <v>44938</v>
      </c>
      <c r="C463" t="s">
        <v>54</v>
      </c>
      <c r="D463" t="s">
        <v>55</v>
      </c>
      <c r="E463" t="s">
        <v>98</v>
      </c>
      <c r="F463" t="s">
        <v>68</v>
      </c>
      <c r="G463" t="s">
        <v>69</v>
      </c>
      <c r="H463" t="s">
        <v>45</v>
      </c>
      <c r="I463" t="s">
        <v>21</v>
      </c>
      <c r="J463">
        <v>3897</v>
      </c>
      <c r="K463">
        <v>3</v>
      </c>
      <c r="L463">
        <v>-584.54999999999995</v>
      </c>
      <c r="M463" t="s">
        <v>22</v>
      </c>
      <c r="N463" t="s">
        <v>75</v>
      </c>
    </row>
    <row r="464" spans="1:14">
      <c r="A464" t="s">
        <v>605</v>
      </c>
      <c r="B464" s="1">
        <v>45219</v>
      </c>
      <c r="C464" t="s">
        <v>227</v>
      </c>
      <c r="D464" t="s">
        <v>228</v>
      </c>
      <c r="E464" t="s">
        <v>49</v>
      </c>
      <c r="F464" t="s">
        <v>49</v>
      </c>
      <c r="G464" t="s">
        <v>50</v>
      </c>
      <c r="H464" t="s">
        <v>173</v>
      </c>
      <c r="I464" t="s">
        <v>59</v>
      </c>
      <c r="J464">
        <v>8598</v>
      </c>
      <c r="K464">
        <v>2</v>
      </c>
      <c r="L464">
        <v>1440</v>
      </c>
      <c r="M464" t="s">
        <v>22</v>
      </c>
      <c r="N464" t="s">
        <v>32</v>
      </c>
    </row>
    <row r="465" spans="1:14">
      <c r="A465" t="s">
        <v>606</v>
      </c>
      <c r="B465" s="1">
        <v>45071</v>
      </c>
      <c r="C465" t="s">
        <v>61</v>
      </c>
      <c r="D465" t="s">
        <v>62</v>
      </c>
      <c r="E465" t="s">
        <v>124</v>
      </c>
      <c r="F465" t="s">
        <v>125</v>
      </c>
      <c r="G465" t="s">
        <v>50</v>
      </c>
      <c r="H465" t="s">
        <v>109</v>
      </c>
      <c r="I465" t="s">
        <v>31</v>
      </c>
      <c r="J465">
        <v>54990</v>
      </c>
      <c r="K465">
        <v>1</v>
      </c>
      <c r="L465">
        <v>5800</v>
      </c>
      <c r="M465" t="s">
        <v>63</v>
      </c>
      <c r="N465" t="s">
        <v>32</v>
      </c>
    </row>
    <row r="466" spans="1:14">
      <c r="A466" t="s">
        <v>607</v>
      </c>
      <c r="B466" s="1">
        <v>45091</v>
      </c>
      <c r="C466" t="s">
        <v>145</v>
      </c>
      <c r="D466" t="s">
        <v>146</v>
      </c>
      <c r="E466" t="s">
        <v>95</v>
      </c>
      <c r="F466" t="s">
        <v>96</v>
      </c>
      <c r="G466" t="s">
        <v>19</v>
      </c>
      <c r="H466" t="s">
        <v>45</v>
      </c>
      <c r="I466" t="s">
        <v>21</v>
      </c>
      <c r="J466">
        <v>2208.3000000000002</v>
      </c>
      <c r="K466">
        <v>2</v>
      </c>
      <c r="L466">
        <v>347.73</v>
      </c>
      <c r="M466" t="s">
        <v>22</v>
      </c>
      <c r="N466" t="s">
        <v>32</v>
      </c>
    </row>
    <row r="467" spans="1:14">
      <c r="A467" t="s">
        <v>608</v>
      </c>
      <c r="B467" s="1">
        <v>45012</v>
      </c>
      <c r="C467" t="s">
        <v>81</v>
      </c>
      <c r="D467" t="s">
        <v>82</v>
      </c>
      <c r="E467" t="s">
        <v>135</v>
      </c>
      <c r="F467" t="s">
        <v>136</v>
      </c>
      <c r="G467" t="s">
        <v>69</v>
      </c>
      <c r="H467" t="s">
        <v>147</v>
      </c>
      <c r="I467" t="s">
        <v>93</v>
      </c>
      <c r="J467">
        <v>1899.05</v>
      </c>
      <c r="K467">
        <v>1</v>
      </c>
      <c r="L467">
        <v>445.04</v>
      </c>
      <c r="M467" t="s">
        <v>40</v>
      </c>
      <c r="N467" t="s">
        <v>32</v>
      </c>
    </row>
    <row r="468" spans="1:14">
      <c r="A468" t="s">
        <v>609</v>
      </c>
      <c r="B468" s="1">
        <v>44927</v>
      </c>
      <c r="C468" t="s">
        <v>149</v>
      </c>
      <c r="D468" t="s">
        <v>150</v>
      </c>
      <c r="E468" t="s">
        <v>84</v>
      </c>
      <c r="F468" t="s">
        <v>85</v>
      </c>
      <c r="G468" t="s">
        <v>69</v>
      </c>
      <c r="H468" t="s">
        <v>117</v>
      </c>
      <c r="I468" t="s">
        <v>93</v>
      </c>
      <c r="J468">
        <v>1954.15</v>
      </c>
      <c r="K468">
        <v>1</v>
      </c>
      <c r="L468">
        <v>-438.64</v>
      </c>
      <c r="M468" t="s">
        <v>52</v>
      </c>
      <c r="N468" t="s">
        <v>130</v>
      </c>
    </row>
    <row r="469" spans="1:14">
      <c r="A469" t="s">
        <v>610</v>
      </c>
      <c r="B469" s="1">
        <v>44938</v>
      </c>
      <c r="C469" t="s">
        <v>54</v>
      </c>
      <c r="D469" t="s">
        <v>55</v>
      </c>
      <c r="E469" t="s">
        <v>98</v>
      </c>
      <c r="F469" t="s">
        <v>68</v>
      </c>
      <c r="G469" t="s">
        <v>69</v>
      </c>
      <c r="H469" t="s">
        <v>58</v>
      </c>
      <c r="I469" t="s">
        <v>59</v>
      </c>
      <c r="J469">
        <v>1890</v>
      </c>
      <c r="K469">
        <v>2</v>
      </c>
      <c r="L469">
        <v>420</v>
      </c>
      <c r="M469" t="s">
        <v>40</v>
      </c>
      <c r="N469" t="s">
        <v>32</v>
      </c>
    </row>
    <row r="470" spans="1:14">
      <c r="A470" t="s">
        <v>611</v>
      </c>
      <c r="B470" s="1">
        <v>45260</v>
      </c>
      <c r="C470" t="s">
        <v>220</v>
      </c>
      <c r="D470" t="s">
        <v>221</v>
      </c>
      <c r="E470" t="s">
        <v>27</v>
      </c>
      <c r="F470" t="s">
        <v>28</v>
      </c>
      <c r="G470" t="s">
        <v>29</v>
      </c>
      <c r="H470" t="s">
        <v>184</v>
      </c>
      <c r="I470" t="s">
        <v>39</v>
      </c>
      <c r="J470">
        <v>2100</v>
      </c>
      <c r="K470">
        <v>4</v>
      </c>
      <c r="L470">
        <v>700</v>
      </c>
      <c r="M470" t="s">
        <v>40</v>
      </c>
      <c r="N470" t="s">
        <v>32</v>
      </c>
    </row>
    <row r="471" spans="1:14">
      <c r="A471" t="s">
        <v>612</v>
      </c>
      <c r="B471" s="1">
        <v>45073</v>
      </c>
      <c r="C471" t="s">
        <v>119</v>
      </c>
      <c r="D471" t="s">
        <v>120</v>
      </c>
      <c r="E471" t="s">
        <v>56</v>
      </c>
      <c r="F471" t="s">
        <v>57</v>
      </c>
      <c r="G471" t="s">
        <v>50</v>
      </c>
      <c r="H471" t="s">
        <v>105</v>
      </c>
      <c r="I471" t="s">
        <v>59</v>
      </c>
      <c r="J471">
        <v>24998</v>
      </c>
      <c r="K471">
        <v>2</v>
      </c>
      <c r="L471">
        <v>-2900</v>
      </c>
      <c r="M471" t="s">
        <v>22</v>
      </c>
      <c r="N471" t="s">
        <v>32</v>
      </c>
    </row>
    <row r="472" spans="1:14">
      <c r="A472" t="s">
        <v>613</v>
      </c>
      <c r="B472" s="1">
        <v>45178</v>
      </c>
      <c r="C472" t="s">
        <v>81</v>
      </c>
      <c r="D472" t="s">
        <v>82</v>
      </c>
      <c r="E472" t="s">
        <v>135</v>
      </c>
      <c r="F472" t="s">
        <v>136</v>
      </c>
      <c r="G472" t="s">
        <v>69</v>
      </c>
      <c r="H472" t="s">
        <v>70</v>
      </c>
      <c r="I472" t="s">
        <v>39</v>
      </c>
      <c r="J472">
        <v>741</v>
      </c>
      <c r="K472">
        <v>1</v>
      </c>
      <c r="L472">
        <v>210.75</v>
      </c>
      <c r="M472" t="s">
        <v>63</v>
      </c>
      <c r="N472" t="s">
        <v>32</v>
      </c>
    </row>
    <row r="473" spans="1:14">
      <c r="A473" t="s">
        <v>614</v>
      </c>
      <c r="B473" s="1">
        <v>44929</v>
      </c>
      <c r="C473" t="s">
        <v>15</v>
      </c>
      <c r="D473" t="s">
        <v>16</v>
      </c>
      <c r="E473" t="s">
        <v>95</v>
      </c>
      <c r="F473" t="s">
        <v>96</v>
      </c>
      <c r="G473" t="s">
        <v>19</v>
      </c>
      <c r="H473" t="s">
        <v>126</v>
      </c>
      <c r="I473" t="s">
        <v>21</v>
      </c>
      <c r="J473">
        <v>159996</v>
      </c>
      <c r="K473">
        <v>4</v>
      </c>
      <c r="L473">
        <v>-23999.4</v>
      </c>
      <c r="M473" t="s">
        <v>63</v>
      </c>
      <c r="N473" t="s">
        <v>75</v>
      </c>
    </row>
    <row r="474" spans="1:14">
      <c r="A474" t="s">
        <v>615</v>
      </c>
      <c r="B474" s="1">
        <v>44940</v>
      </c>
      <c r="C474" t="s">
        <v>113</v>
      </c>
      <c r="D474" t="s">
        <v>114</v>
      </c>
      <c r="E474" t="s">
        <v>141</v>
      </c>
      <c r="F474" t="s">
        <v>142</v>
      </c>
      <c r="G474" t="s">
        <v>50</v>
      </c>
      <c r="H474" t="s">
        <v>173</v>
      </c>
      <c r="I474" t="s">
        <v>59</v>
      </c>
      <c r="J474">
        <v>4084.05</v>
      </c>
      <c r="K474">
        <v>1</v>
      </c>
      <c r="L474">
        <v>558.79</v>
      </c>
      <c r="M474" t="s">
        <v>22</v>
      </c>
      <c r="N474" t="s">
        <v>32</v>
      </c>
    </row>
    <row r="475" spans="1:14">
      <c r="A475" t="s">
        <v>616</v>
      </c>
      <c r="B475" s="1">
        <v>44986</v>
      </c>
      <c r="C475" t="s">
        <v>227</v>
      </c>
      <c r="D475" t="s">
        <v>228</v>
      </c>
      <c r="E475" t="s">
        <v>157</v>
      </c>
      <c r="F475" t="s">
        <v>158</v>
      </c>
      <c r="G475" t="s">
        <v>29</v>
      </c>
      <c r="H475" t="s">
        <v>111</v>
      </c>
      <c r="I475" t="s">
        <v>59</v>
      </c>
      <c r="J475">
        <v>2697</v>
      </c>
      <c r="K475">
        <v>3</v>
      </c>
      <c r="L475">
        <v>-360</v>
      </c>
      <c r="M475" t="s">
        <v>22</v>
      </c>
      <c r="N475" t="s">
        <v>32</v>
      </c>
    </row>
    <row r="476" spans="1:14">
      <c r="A476" t="s">
        <v>617</v>
      </c>
      <c r="B476" s="1">
        <v>45153</v>
      </c>
      <c r="C476" t="s">
        <v>72</v>
      </c>
      <c r="D476" t="s">
        <v>73</v>
      </c>
      <c r="E476" t="s">
        <v>157</v>
      </c>
      <c r="F476" t="s">
        <v>158</v>
      </c>
      <c r="G476" t="s">
        <v>29</v>
      </c>
      <c r="H476" t="s">
        <v>154</v>
      </c>
      <c r="I476" t="s">
        <v>93</v>
      </c>
      <c r="J476">
        <v>4921</v>
      </c>
      <c r="K476">
        <v>4</v>
      </c>
      <c r="L476">
        <v>1045.75</v>
      </c>
      <c r="M476" t="s">
        <v>63</v>
      </c>
      <c r="N476" t="s">
        <v>130</v>
      </c>
    </row>
    <row r="477" spans="1:14">
      <c r="A477" t="s">
        <v>618</v>
      </c>
      <c r="B477" s="1">
        <v>45226</v>
      </c>
      <c r="C477" t="s">
        <v>227</v>
      </c>
      <c r="D477" t="s">
        <v>228</v>
      </c>
      <c r="E477" t="s">
        <v>49</v>
      </c>
      <c r="F477" t="s">
        <v>49</v>
      </c>
      <c r="G477" t="s">
        <v>50</v>
      </c>
      <c r="H477" t="s">
        <v>109</v>
      </c>
      <c r="I477" t="s">
        <v>31</v>
      </c>
      <c r="J477">
        <v>164970</v>
      </c>
      <c r="K477">
        <v>3</v>
      </c>
      <c r="L477">
        <v>17400</v>
      </c>
      <c r="M477" t="s">
        <v>22</v>
      </c>
      <c r="N477" t="s">
        <v>32</v>
      </c>
    </row>
    <row r="478" spans="1:14">
      <c r="A478" t="s">
        <v>619</v>
      </c>
      <c r="B478" s="1">
        <v>45052</v>
      </c>
      <c r="C478" t="s">
        <v>34</v>
      </c>
      <c r="D478" t="s">
        <v>35</v>
      </c>
      <c r="E478" t="s">
        <v>141</v>
      </c>
      <c r="F478" t="s">
        <v>142</v>
      </c>
      <c r="G478" t="s">
        <v>50</v>
      </c>
      <c r="H478" t="s">
        <v>30</v>
      </c>
      <c r="I478" t="s">
        <v>31</v>
      </c>
      <c r="J478">
        <v>806.55</v>
      </c>
      <c r="K478">
        <v>1</v>
      </c>
      <c r="L478">
        <v>178.16</v>
      </c>
      <c r="M478" t="s">
        <v>22</v>
      </c>
      <c r="N478" t="s">
        <v>41</v>
      </c>
    </row>
    <row r="479" spans="1:14">
      <c r="A479" t="s">
        <v>620</v>
      </c>
      <c r="B479" s="1">
        <v>45019</v>
      </c>
      <c r="C479" t="s">
        <v>54</v>
      </c>
      <c r="D479" t="s">
        <v>55</v>
      </c>
      <c r="E479" t="s">
        <v>84</v>
      </c>
      <c r="F479" t="s">
        <v>85</v>
      </c>
      <c r="G479" t="s">
        <v>69</v>
      </c>
      <c r="H479" t="s">
        <v>189</v>
      </c>
      <c r="I479" t="s">
        <v>59</v>
      </c>
      <c r="J479">
        <v>5550</v>
      </c>
      <c r="K479">
        <v>3</v>
      </c>
      <c r="L479">
        <v>1020</v>
      </c>
      <c r="M479" t="s">
        <v>52</v>
      </c>
      <c r="N479" t="s">
        <v>32</v>
      </c>
    </row>
    <row r="480" spans="1:14">
      <c r="A480" t="s">
        <v>621</v>
      </c>
      <c r="B480" s="1">
        <v>45224</v>
      </c>
      <c r="C480" t="s">
        <v>101</v>
      </c>
      <c r="D480" t="s">
        <v>102</v>
      </c>
      <c r="E480" t="s">
        <v>135</v>
      </c>
      <c r="F480" t="s">
        <v>136</v>
      </c>
      <c r="G480" t="s">
        <v>69</v>
      </c>
      <c r="H480" t="s">
        <v>109</v>
      </c>
      <c r="I480" t="s">
        <v>31</v>
      </c>
      <c r="J480">
        <v>54990</v>
      </c>
      <c r="K480">
        <v>1</v>
      </c>
      <c r="L480">
        <v>5800</v>
      </c>
      <c r="M480" t="s">
        <v>40</v>
      </c>
      <c r="N480" t="s">
        <v>32</v>
      </c>
    </row>
    <row r="481" spans="1:14">
      <c r="A481" t="s">
        <v>622</v>
      </c>
      <c r="B481" s="1">
        <v>45091</v>
      </c>
      <c r="C481" t="s">
        <v>34</v>
      </c>
      <c r="D481" t="s">
        <v>35</v>
      </c>
      <c r="E481" t="s">
        <v>141</v>
      </c>
      <c r="F481" t="s">
        <v>142</v>
      </c>
      <c r="G481" t="s">
        <v>50</v>
      </c>
      <c r="H481" t="s">
        <v>215</v>
      </c>
      <c r="I481" t="s">
        <v>59</v>
      </c>
      <c r="J481">
        <v>17547.3</v>
      </c>
      <c r="K481">
        <v>3</v>
      </c>
      <c r="L481">
        <v>1387.72</v>
      </c>
      <c r="M481" t="s">
        <v>22</v>
      </c>
      <c r="N481" t="s">
        <v>32</v>
      </c>
    </row>
    <row r="482" spans="1:14">
      <c r="A482" t="s">
        <v>623</v>
      </c>
      <c r="B482" s="1">
        <v>44950</v>
      </c>
      <c r="C482" t="s">
        <v>275</v>
      </c>
      <c r="D482" t="s">
        <v>276</v>
      </c>
      <c r="E482" t="s">
        <v>98</v>
      </c>
      <c r="F482" t="s">
        <v>68</v>
      </c>
      <c r="G482" t="s">
        <v>69</v>
      </c>
      <c r="H482" t="s">
        <v>45</v>
      </c>
      <c r="I482" t="s">
        <v>21</v>
      </c>
      <c r="J482">
        <v>2078.4</v>
      </c>
      <c r="K482">
        <v>2</v>
      </c>
      <c r="L482">
        <v>250.3</v>
      </c>
      <c r="M482" t="s">
        <v>22</v>
      </c>
      <c r="N482" t="s">
        <v>130</v>
      </c>
    </row>
    <row r="483" spans="1:14">
      <c r="A483" t="s">
        <v>624</v>
      </c>
      <c r="B483" s="1">
        <v>44927</v>
      </c>
      <c r="C483" t="s">
        <v>149</v>
      </c>
      <c r="D483" t="s">
        <v>150</v>
      </c>
      <c r="E483" t="s">
        <v>17</v>
      </c>
      <c r="F483" t="s">
        <v>18</v>
      </c>
      <c r="G483" t="s">
        <v>19</v>
      </c>
      <c r="H483" t="s">
        <v>173</v>
      </c>
      <c r="I483" t="s">
        <v>59</v>
      </c>
      <c r="J483">
        <v>15476.4</v>
      </c>
      <c r="K483">
        <v>4</v>
      </c>
      <c r="L483">
        <v>1590.3</v>
      </c>
      <c r="M483" t="s">
        <v>22</v>
      </c>
      <c r="N483" t="s">
        <v>32</v>
      </c>
    </row>
    <row r="484" spans="1:14">
      <c r="A484" t="s">
        <v>625</v>
      </c>
      <c r="B484" s="1">
        <v>45278</v>
      </c>
      <c r="C484" t="s">
        <v>47</v>
      </c>
      <c r="D484" t="s">
        <v>48</v>
      </c>
      <c r="E484" t="s">
        <v>124</v>
      </c>
      <c r="F484" t="s">
        <v>125</v>
      </c>
      <c r="G484" t="s">
        <v>50</v>
      </c>
      <c r="H484" t="s">
        <v>261</v>
      </c>
      <c r="I484" t="s">
        <v>21</v>
      </c>
      <c r="J484">
        <v>43998</v>
      </c>
      <c r="K484">
        <v>2</v>
      </c>
      <c r="L484">
        <v>-6599.7</v>
      </c>
      <c r="M484" t="s">
        <v>40</v>
      </c>
      <c r="N484" t="s">
        <v>75</v>
      </c>
    </row>
    <row r="485" spans="1:14">
      <c r="A485" t="s">
        <v>626</v>
      </c>
      <c r="B485" s="1">
        <v>45204</v>
      </c>
      <c r="C485" t="s">
        <v>275</v>
      </c>
      <c r="D485" t="s">
        <v>276</v>
      </c>
      <c r="E485" t="s">
        <v>84</v>
      </c>
      <c r="F485" t="s">
        <v>85</v>
      </c>
      <c r="G485" t="s">
        <v>69</v>
      </c>
      <c r="H485" t="s">
        <v>30</v>
      </c>
      <c r="I485" t="s">
        <v>31</v>
      </c>
      <c r="J485">
        <v>2547</v>
      </c>
      <c r="K485">
        <v>3</v>
      </c>
      <c r="L485">
        <v>630</v>
      </c>
      <c r="M485" t="s">
        <v>90</v>
      </c>
      <c r="N485" t="s">
        <v>32</v>
      </c>
    </row>
    <row r="486" spans="1:14">
      <c r="A486" t="s">
        <v>627</v>
      </c>
      <c r="B486" s="1">
        <v>45044</v>
      </c>
      <c r="C486" t="s">
        <v>170</v>
      </c>
      <c r="D486" t="s">
        <v>171</v>
      </c>
      <c r="E486" t="s">
        <v>67</v>
      </c>
      <c r="F486" t="s">
        <v>68</v>
      </c>
      <c r="G486" t="s">
        <v>69</v>
      </c>
      <c r="H486" t="s">
        <v>126</v>
      </c>
      <c r="I486" t="s">
        <v>21</v>
      </c>
      <c r="J486">
        <v>159996</v>
      </c>
      <c r="K486">
        <v>4</v>
      </c>
      <c r="L486">
        <v>19200</v>
      </c>
      <c r="M486" t="s">
        <v>40</v>
      </c>
      <c r="N486" t="s">
        <v>32</v>
      </c>
    </row>
    <row r="487" spans="1:14">
      <c r="A487" t="s">
        <v>628</v>
      </c>
      <c r="B487" s="1">
        <v>45094</v>
      </c>
      <c r="C487" t="s">
        <v>81</v>
      </c>
      <c r="D487" t="s">
        <v>82</v>
      </c>
      <c r="E487" t="s">
        <v>17</v>
      </c>
      <c r="F487" t="s">
        <v>18</v>
      </c>
      <c r="G487" t="s">
        <v>19</v>
      </c>
      <c r="H487" t="s">
        <v>111</v>
      </c>
      <c r="I487" t="s">
        <v>59</v>
      </c>
      <c r="J487">
        <v>899</v>
      </c>
      <c r="K487">
        <v>1</v>
      </c>
      <c r="L487">
        <v>-120</v>
      </c>
      <c r="M487" t="s">
        <v>22</v>
      </c>
      <c r="N487" t="s">
        <v>32</v>
      </c>
    </row>
    <row r="488" spans="1:14">
      <c r="A488" t="s">
        <v>629</v>
      </c>
      <c r="B488" s="1">
        <v>45142</v>
      </c>
      <c r="C488" t="s">
        <v>119</v>
      </c>
      <c r="D488" t="s">
        <v>120</v>
      </c>
      <c r="E488" t="s">
        <v>87</v>
      </c>
      <c r="F488" t="s">
        <v>88</v>
      </c>
      <c r="G488" t="s">
        <v>29</v>
      </c>
      <c r="H488" t="s">
        <v>128</v>
      </c>
      <c r="I488" t="s">
        <v>31</v>
      </c>
      <c r="J488">
        <v>2541.5</v>
      </c>
      <c r="K488">
        <v>2</v>
      </c>
      <c r="L488">
        <v>363.62</v>
      </c>
      <c r="M488" t="s">
        <v>63</v>
      </c>
      <c r="N488" t="s">
        <v>32</v>
      </c>
    </row>
    <row r="489" spans="1:14">
      <c r="A489" t="s">
        <v>630</v>
      </c>
      <c r="B489" s="1">
        <v>45034</v>
      </c>
      <c r="C489" t="s">
        <v>113</v>
      </c>
      <c r="D489" t="s">
        <v>114</v>
      </c>
      <c r="E489" t="s">
        <v>124</v>
      </c>
      <c r="F489" t="s">
        <v>125</v>
      </c>
      <c r="G489" t="s">
        <v>50</v>
      </c>
      <c r="H489" t="s">
        <v>79</v>
      </c>
      <c r="I489" t="s">
        <v>31</v>
      </c>
      <c r="J489">
        <v>33592</v>
      </c>
      <c r="K489">
        <v>1</v>
      </c>
      <c r="L489">
        <v>-5038.8</v>
      </c>
      <c r="M489" t="s">
        <v>63</v>
      </c>
      <c r="N489" t="s">
        <v>75</v>
      </c>
    </row>
    <row r="490" spans="1:14">
      <c r="A490" t="s">
        <v>631</v>
      </c>
      <c r="B490" s="1">
        <v>44942</v>
      </c>
      <c r="C490" t="s">
        <v>54</v>
      </c>
      <c r="D490" t="s">
        <v>55</v>
      </c>
      <c r="E490" t="s">
        <v>135</v>
      </c>
      <c r="F490" t="s">
        <v>136</v>
      </c>
      <c r="G490" t="s">
        <v>69</v>
      </c>
      <c r="H490" t="s">
        <v>173</v>
      </c>
      <c r="I490" t="s">
        <v>59</v>
      </c>
      <c r="J490">
        <v>17196</v>
      </c>
      <c r="K490">
        <v>4</v>
      </c>
      <c r="L490">
        <v>2880</v>
      </c>
      <c r="M490" t="s">
        <v>52</v>
      </c>
      <c r="N490" t="s">
        <v>32</v>
      </c>
    </row>
    <row r="491" spans="1:14">
      <c r="A491" t="s">
        <v>632</v>
      </c>
      <c r="B491" s="1">
        <v>45061</v>
      </c>
      <c r="C491" t="s">
        <v>160</v>
      </c>
      <c r="D491" t="s">
        <v>161</v>
      </c>
      <c r="E491" t="s">
        <v>157</v>
      </c>
      <c r="F491" t="s">
        <v>158</v>
      </c>
      <c r="G491" t="s">
        <v>29</v>
      </c>
      <c r="H491" t="s">
        <v>111</v>
      </c>
      <c r="I491" t="s">
        <v>59</v>
      </c>
      <c r="J491">
        <v>2562.15</v>
      </c>
      <c r="K491">
        <v>3</v>
      </c>
      <c r="L491">
        <v>-461.14</v>
      </c>
      <c r="M491" t="s">
        <v>63</v>
      </c>
      <c r="N491" t="s">
        <v>32</v>
      </c>
    </row>
    <row r="492" spans="1:14">
      <c r="A492" t="s">
        <v>633</v>
      </c>
      <c r="B492" s="1">
        <v>45102</v>
      </c>
      <c r="C492" t="s">
        <v>54</v>
      </c>
      <c r="D492" t="s">
        <v>55</v>
      </c>
      <c r="E492" t="s">
        <v>141</v>
      </c>
      <c r="F492" t="s">
        <v>142</v>
      </c>
      <c r="G492" t="s">
        <v>50</v>
      </c>
      <c r="H492" t="s">
        <v>128</v>
      </c>
      <c r="I492" t="s">
        <v>31</v>
      </c>
      <c r="J492">
        <v>4784</v>
      </c>
      <c r="K492">
        <v>4</v>
      </c>
      <c r="L492">
        <v>503</v>
      </c>
      <c r="M492" t="s">
        <v>90</v>
      </c>
      <c r="N492" t="s">
        <v>32</v>
      </c>
    </row>
    <row r="493" spans="1:14">
      <c r="A493" t="s">
        <v>634</v>
      </c>
      <c r="B493" s="1">
        <v>45206</v>
      </c>
      <c r="C493" t="s">
        <v>132</v>
      </c>
      <c r="D493" t="s">
        <v>133</v>
      </c>
      <c r="E493" t="s">
        <v>84</v>
      </c>
      <c r="F493" t="s">
        <v>85</v>
      </c>
      <c r="G493" t="s">
        <v>69</v>
      </c>
      <c r="H493" t="s">
        <v>230</v>
      </c>
      <c r="I493" t="s">
        <v>39</v>
      </c>
      <c r="J493">
        <v>1947</v>
      </c>
      <c r="K493">
        <v>3</v>
      </c>
      <c r="L493">
        <v>660</v>
      </c>
      <c r="M493" t="s">
        <v>63</v>
      </c>
      <c r="N493" t="s">
        <v>32</v>
      </c>
    </row>
    <row r="494" spans="1:14">
      <c r="A494" t="s">
        <v>635</v>
      </c>
      <c r="B494" s="1">
        <v>45080</v>
      </c>
      <c r="C494" t="s">
        <v>43</v>
      </c>
      <c r="D494" t="s">
        <v>44</v>
      </c>
      <c r="E494" t="s">
        <v>17</v>
      </c>
      <c r="F494" t="s">
        <v>18</v>
      </c>
      <c r="G494" t="s">
        <v>19</v>
      </c>
      <c r="H494" t="s">
        <v>128</v>
      </c>
      <c r="I494" t="s">
        <v>31</v>
      </c>
      <c r="J494">
        <v>1270.75</v>
      </c>
      <c r="K494">
        <v>1</v>
      </c>
      <c r="L494">
        <v>181.81</v>
      </c>
      <c r="M494" t="s">
        <v>90</v>
      </c>
      <c r="N494" t="s">
        <v>32</v>
      </c>
    </row>
    <row r="495" spans="1:14">
      <c r="A495" t="s">
        <v>636</v>
      </c>
      <c r="B495" s="1">
        <v>45044</v>
      </c>
      <c r="C495" t="s">
        <v>227</v>
      </c>
      <c r="D495" t="s">
        <v>228</v>
      </c>
      <c r="E495" t="s">
        <v>17</v>
      </c>
      <c r="F495" t="s">
        <v>18</v>
      </c>
      <c r="G495" t="s">
        <v>19</v>
      </c>
      <c r="H495" t="s">
        <v>143</v>
      </c>
      <c r="I495" t="s">
        <v>59</v>
      </c>
      <c r="J495">
        <v>12796</v>
      </c>
      <c r="K495">
        <v>4</v>
      </c>
      <c r="L495">
        <v>2200</v>
      </c>
      <c r="M495" t="s">
        <v>63</v>
      </c>
      <c r="N495" t="s">
        <v>32</v>
      </c>
    </row>
    <row r="496" spans="1:14">
      <c r="A496" t="s">
        <v>637</v>
      </c>
      <c r="B496" s="1">
        <v>45037</v>
      </c>
      <c r="C496" t="s">
        <v>25</v>
      </c>
      <c r="D496" t="s">
        <v>26</v>
      </c>
      <c r="E496" t="s">
        <v>157</v>
      </c>
      <c r="F496" t="s">
        <v>158</v>
      </c>
      <c r="G496" t="s">
        <v>29</v>
      </c>
      <c r="H496" t="s">
        <v>74</v>
      </c>
      <c r="I496" t="s">
        <v>31</v>
      </c>
      <c r="J496">
        <v>99424.5</v>
      </c>
      <c r="K496">
        <v>3</v>
      </c>
      <c r="L496">
        <v>-859.12</v>
      </c>
      <c r="M496" t="s">
        <v>40</v>
      </c>
      <c r="N496" t="s">
        <v>130</v>
      </c>
    </row>
    <row r="497" spans="1:14">
      <c r="A497" t="s">
        <v>638</v>
      </c>
      <c r="B497" s="1">
        <v>45285</v>
      </c>
      <c r="C497" t="s">
        <v>175</v>
      </c>
      <c r="D497" t="s">
        <v>176</v>
      </c>
      <c r="E497" t="s">
        <v>84</v>
      </c>
      <c r="F497" t="s">
        <v>85</v>
      </c>
      <c r="G497" t="s">
        <v>69</v>
      </c>
      <c r="H497" t="s">
        <v>58</v>
      </c>
      <c r="I497" t="s">
        <v>59</v>
      </c>
      <c r="J497">
        <v>803.25</v>
      </c>
      <c r="K497">
        <v>1</v>
      </c>
      <c r="L497">
        <v>-120.49</v>
      </c>
      <c r="M497" t="s">
        <v>40</v>
      </c>
      <c r="N497" t="s">
        <v>75</v>
      </c>
    </row>
    <row r="498" spans="1:14">
      <c r="A498" t="s">
        <v>639</v>
      </c>
      <c r="B498" s="1">
        <v>45290</v>
      </c>
      <c r="C498" t="s">
        <v>25</v>
      </c>
      <c r="D498" t="s">
        <v>26</v>
      </c>
      <c r="E498" t="s">
        <v>141</v>
      </c>
      <c r="F498" t="s">
        <v>142</v>
      </c>
      <c r="G498" t="s">
        <v>50</v>
      </c>
      <c r="H498" t="s">
        <v>79</v>
      </c>
      <c r="I498" t="s">
        <v>31</v>
      </c>
      <c r="J498">
        <v>113373</v>
      </c>
      <c r="K498">
        <v>3</v>
      </c>
      <c r="L498">
        <v>4052.25</v>
      </c>
      <c r="M498" t="s">
        <v>90</v>
      </c>
      <c r="N498" t="s">
        <v>32</v>
      </c>
    </row>
    <row r="499" spans="1:14">
      <c r="A499" t="s">
        <v>640</v>
      </c>
      <c r="B499" s="1">
        <v>44936</v>
      </c>
      <c r="C499" t="s">
        <v>132</v>
      </c>
      <c r="D499" t="s">
        <v>133</v>
      </c>
      <c r="E499" t="s">
        <v>27</v>
      </c>
      <c r="F499" t="s">
        <v>28</v>
      </c>
      <c r="G499" t="s">
        <v>29</v>
      </c>
      <c r="H499" t="s">
        <v>99</v>
      </c>
      <c r="I499" t="s">
        <v>21</v>
      </c>
      <c r="J499">
        <v>2397</v>
      </c>
      <c r="K499">
        <v>3</v>
      </c>
      <c r="L499">
        <v>750</v>
      </c>
      <c r="M499" t="s">
        <v>22</v>
      </c>
      <c r="N499" t="s">
        <v>32</v>
      </c>
    </row>
    <row r="500" spans="1:14">
      <c r="A500" t="s">
        <v>641</v>
      </c>
      <c r="B500" s="1">
        <v>44969</v>
      </c>
      <c r="C500" t="s">
        <v>202</v>
      </c>
      <c r="D500" t="s">
        <v>203</v>
      </c>
      <c r="E500" t="s">
        <v>84</v>
      </c>
      <c r="F500" t="s">
        <v>85</v>
      </c>
      <c r="G500" t="s">
        <v>69</v>
      </c>
      <c r="H500" t="s">
        <v>89</v>
      </c>
      <c r="I500" t="s">
        <v>21</v>
      </c>
      <c r="J500">
        <v>5397</v>
      </c>
      <c r="K500">
        <v>3</v>
      </c>
      <c r="L500">
        <v>0</v>
      </c>
      <c r="M500" t="s">
        <v>63</v>
      </c>
      <c r="N500" t="s">
        <v>23</v>
      </c>
    </row>
    <row r="501" spans="1:14">
      <c r="A501" t="s">
        <v>642</v>
      </c>
      <c r="B501" s="1">
        <v>44996</v>
      </c>
      <c r="C501" t="s">
        <v>160</v>
      </c>
      <c r="D501" t="s">
        <v>161</v>
      </c>
      <c r="E501" t="s">
        <v>87</v>
      </c>
      <c r="F501" t="s">
        <v>88</v>
      </c>
      <c r="G501" t="s">
        <v>29</v>
      </c>
      <c r="H501" t="s">
        <v>45</v>
      </c>
      <c r="I501" t="s">
        <v>21</v>
      </c>
      <c r="J501">
        <v>1039.2</v>
      </c>
      <c r="K501">
        <v>1</v>
      </c>
      <c r="L501">
        <v>125.15</v>
      </c>
      <c r="M501" t="s">
        <v>90</v>
      </c>
      <c r="N501" t="s">
        <v>130</v>
      </c>
    </row>
    <row r="502" spans="1:14">
      <c r="A502" t="s">
        <v>643</v>
      </c>
      <c r="B502" s="1">
        <v>45001</v>
      </c>
      <c r="C502" t="s">
        <v>65</v>
      </c>
      <c r="D502" t="s">
        <v>66</v>
      </c>
      <c r="E502" t="s">
        <v>17</v>
      </c>
      <c r="F502" t="s">
        <v>18</v>
      </c>
      <c r="G502" t="s">
        <v>19</v>
      </c>
      <c r="H502" t="s">
        <v>164</v>
      </c>
      <c r="I502" t="s">
        <v>39</v>
      </c>
      <c r="J502">
        <v>2998</v>
      </c>
      <c r="K502">
        <v>2</v>
      </c>
      <c r="L502">
        <v>720</v>
      </c>
      <c r="M502" t="s">
        <v>63</v>
      </c>
      <c r="N502" t="s">
        <v>32</v>
      </c>
    </row>
    <row r="503" spans="1:14">
      <c r="A503" t="s">
        <v>644</v>
      </c>
      <c r="B503" s="1">
        <v>45008</v>
      </c>
      <c r="C503" t="s">
        <v>132</v>
      </c>
      <c r="D503" t="s">
        <v>133</v>
      </c>
      <c r="E503" t="s">
        <v>17</v>
      </c>
      <c r="F503" t="s">
        <v>18</v>
      </c>
      <c r="G503" t="s">
        <v>19</v>
      </c>
      <c r="H503" t="s">
        <v>92</v>
      </c>
      <c r="I503" t="s">
        <v>93</v>
      </c>
      <c r="J503">
        <v>6747.3</v>
      </c>
      <c r="K503">
        <v>3</v>
      </c>
      <c r="L503">
        <v>0</v>
      </c>
      <c r="M503" t="s">
        <v>22</v>
      </c>
      <c r="N503" t="s">
        <v>23</v>
      </c>
    </row>
    <row r="504" spans="1:14">
      <c r="A504" t="s">
        <v>645</v>
      </c>
      <c r="B504" s="1">
        <v>45102</v>
      </c>
      <c r="C504" t="s">
        <v>81</v>
      </c>
      <c r="D504" t="s">
        <v>82</v>
      </c>
      <c r="E504" t="s">
        <v>84</v>
      </c>
      <c r="F504" t="s">
        <v>85</v>
      </c>
      <c r="G504" t="s">
        <v>69</v>
      </c>
      <c r="H504" t="s">
        <v>154</v>
      </c>
      <c r="I504" t="s">
        <v>93</v>
      </c>
      <c r="J504">
        <v>2072</v>
      </c>
      <c r="K504">
        <v>2</v>
      </c>
      <c r="L504">
        <v>0</v>
      </c>
      <c r="M504" t="s">
        <v>90</v>
      </c>
      <c r="N504" t="s">
        <v>23</v>
      </c>
    </row>
    <row r="505" spans="1:14">
      <c r="A505" t="s">
        <v>646</v>
      </c>
      <c r="B505" s="1">
        <v>45176</v>
      </c>
      <c r="C505" t="s">
        <v>25</v>
      </c>
      <c r="D505" t="s">
        <v>26</v>
      </c>
      <c r="E505" t="s">
        <v>84</v>
      </c>
      <c r="F505" t="s">
        <v>85</v>
      </c>
      <c r="G505" t="s">
        <v>69</v>
      </c>
      <c r="H505" t="s">
        <v>164</v>
      </c>
      <c r="I505" t="s">
        <v>39</v>
      </c>
      <c r="J505">
        <v>4497</v>
      </c>
      <c r="K505">
        <v>3</v>
      </c>
      <c r="L505">
        <v>1080</v>
      </c>
      <c r="M505" t="s">
        <v>63</v>
      </c>
      <c r="N505" t="s">
        <v>32</v>
      </c>
    </row>
    <row r="506" spans="1:14">
      <c r="A506" t="s">
        <v>647</v>
      </c>
      <c r="B506" s="1">
        <v>45103</v>
      </c>
      <c r="C506" t="s">
        <v>149</v>
      </c>
      <c r="D506" t="s">
        <v>150</v>
      </c>
      <c r="E506" t="s">
        <v>27</v>
      </c>
      <c r="F506" t="s">
        <v>28</v>
      </c>
      <c r="G506" t="s">
        <v>29</v>
      </c>
      <c r="H506" t="s">
        <v>206</v>
      </c>
      <c r="I506" t="s">
        <v>21</v>
      </c>
      <c r="J506">
        <v>194997</v>
      </c>
      <c r="K506">
        <v>3</v>
      </c>
      <c r="L506">
        <v>21600</v>
      </c>
      <c r="M506" t="s">
        <v>22</v>
      </c>
      <c r="N506" t="s">
        <v>32</v>
      </c>
    </row>
    <row r="507" spans="1:14">
      <c r="A507" t="s">
        <v>648</v>
      </c>
      <c r="B507" s="1">
        <v>45125</v>
      </c>
      <c r="C507" t="s">
        <v>72</v>
      </c>
      <c r="D507" t="s">
        <v>73</v>
      </c>
      <c r="E507" t="s">
        <v>135</v>
      </c>
      <c r="F507" t="s">
        <v>136</v>
      </c>
      <c r="G507" t="s">
        <v>69</v>
      </c>
      <c r="H507" t="s">
        <v>137</v>
      </c>
      <c r="I507" t="s">
        <v>93</v>
      </c>
      <c r="J507">
        <v>3043</v>
      </c>
      <c r="K507">
        <v>2</v>
      </c>
      <c r="L507">
        <v>377.25</v>
      </c>
      <c r="M507" t="s">
        <v>22</v>
      </c>
      <c r="N507" t="s">
        <v>32</v>
      </c>
    </row>
    <row r="508" spans="1:14">
      <c r="A508" t="s">
        <v>649</v>
      </c>
      <c r="B508" s="1">
        <v>45100</v>
      </c>
      <c r="C508" t="s">
        <v>43</v>
      </c>
      <c r="D508" t="s">
        <v>44</v>
      </c>
      <c r="E508" t="s">
        <v>27</v>
      </c>
      <c r="F508" t="s">
        <v>28</v>
      </c>
      <c r="G508" t="s">
        <v>29</v>
      </c>
      <c r="H508" t="s">
        <v>189</v>
      </c>
      <c r="I508" t="s">
        <v>59</v>
      </c>
      <c r="J508">
        <v>4717.5</v>
      </c>
      <c r="K508">
        <v>3</v>
      </c>
      <c r="L508">
        <v>395.62</v>
      </c>
      <c r="M508" t="s">
        <v>40</v>
      </c>
      <c r="N508" t="s">
        <v>32</v>
      </c>
    </row>
    <row r="509" spans="1:14">
      <c r="A509" t="s">
        <v>650</v>
      </c>
      <c r="B509" s="1">
        <v>44976</v>
      </c>
      <c r="C509" t="s">
        <v>119</v>
      </c>
      <c r="D509" t="s">
        <v>120</v>
      </c>
      <c r="E509" t="s">
        <v>49</v>
      </c>
      <c r="F509" t="s">
        <v>49</v>
      </c>
      <c r="G509" t="s">
        <v>50</v>
      </c>
      <c r="H509" t="s">
        <v>92</v>
      </c>
      <c r="I509" t="s">
        <v>93</v>
      </c>
      <c r="J509">
        <v>4498.2</v>
      </c>
      <c r="K509">
        <v>2</v>
      </c>
      <c r="L509">
        <v>925.15</v>
      </c>
      <c r="M509" t="s">
        <v>22</v>
      </c>
      <c r="N509" t="s">
        <v>32</v>
      </c>
    </row>
    <row r="510" spans="1:14">
      <c r="A510" t="s">
        <v>651</v>
      </c>
      <c r="B510" s="1">
        <v>45076</v>
      </c>
      <c r="C510" t="s">
        <v>72</v>
      </c>
      <c r="D510" t="s">
        <v>73</v>
      </c>
      <c r="E510" t="s">
        <v>84</v>
      </c>
      <c r="F510" t="s">
        <v>85</v>
      </c>
      <c r="G510" t="s">
        <v>69</v>
      </c>
      <c r="H510" t="s">
        <v>109</v>
      </c>
      <c r="I510" t="s">
        <v>31</v>
      </c>
      <c r="J510">
        <v>87984</v>
      </c>
      <c r="K510">
        <v>2</v>
      </c>
      <c r="L510">
        <v>-4897</v>
      </c>
      <c r="M510" t="s">
        <v>22</v>
      </c>
      <c r="N510" t="s">
        <v>32</v>
      </c>
    </row>
    <row r="511" spans="1:14">
      <c r="A511" t="s">
        <v>652</v>
      </c>
      <c r="B511" s="1">
        <v>45047</v>
      </c>
      <c r="C511" t="s">
        <v>220</v>
      </c>
      <c r="D511" t="s">
        <v>221</v>
      </c>
      <c r="E511" t="s">
        <v>27</v>
      </c>
      <c r="F511" t="s">
        <v>28</v>
      </c>
      <c r="G511" t="s">
        <v>29</v>
      </c>
      <c r="H511" t="s">
        <v>30</v>
      </c>
      <c r="I511" t="s">
        <v>31</v>
      </c>
      <c r="J511">
        <v>764.1</v>
      </c>
      <c r="K511">
        <v>1</v>
      </c>
      <c r="L511">
        <v>0</v>
      </c>
      <c r="M511" t="s">
        <v>22</v>
      </c>
      <c r="N511" t="s">
        <v>23</v>
      </c>
    </row>
    <row r="512" spans="1:14">
      <c r="A512" t="s">
        <v>653</v>
      </c>
      <c r="B512" s="1">
        <v>45107</v>
      </c>
      <c r="C512" t="s">
        <v>47</v>
      </c>
      <c r="D512" t="s">
        <v>48</v>
      </c>
      <c r="E512" t="s">
        <v>135</v>
      </c>
      <c r="F512" t="s">
        <v>136</v>
      </c>
      <c r="G512" t="s">
        <v>69</v>
      </c>
      <c r="H512" t="s">
        <v>147</v>
      </c>
      <c r="I512" t="s">
        <v>93</v>
      </c>
      <c r="J512">
        <v>7996</v>
      </c>
      <c r="K512">
        <v>4</v>
      </c>
      <c r="L512">
        <v>2080</v>
      </c>
      <c r="M512" t="s">
        <v>40</v>
      </c>
      <c r="N512" t="s">
        <v>130</v>
      </c>
    </row>
    <row r="513" spans="1:14">
      <c r="A513" t="s">
        <v>654</v>
      </c>
      <c r="B513" s="1">
        <v>44973</v>
      </c>
      <c r="C513" t="s">
        <v>77</v>
      </c>
      <c r="D513" t="s">
        <v>78</v>
      </c>
      <c r="E513" t="s">
        <v>95</v>
      </c>
      <c r="F513" t="s">
        <v>96</v>
      </c>
      <c r="G513" t="s">
        <v>19</v>
      </c>
      <c r="H513" t="s">
        <v>30</v>
      </c>
      <c r="I513" t="s">
        <v>31</v>
      </c>
      <c r="J513">
        <v>1528.2</v>
      </c>
      <c r="K513">
        <v>2</v>
      </c>
      <c r="L513">
        <v>292.64999999999998</v>
      </c>
      <c r="M513" t="s">
        <v>63</v>
      </c>
      <c r="N513" t="s">
        <v>32</v>
      </c>
    </row>
    <row r="514" spans="1:14">
      <c r="A514" t="s">
        <v>655</v>
      </c>
      <c r="B514" s="1">
        <v>45149</v>
      </c>
      <c r="C514" t="s">
        <v>101</v>
      </c>
      <c r="D514" t="s">
        <v>102</v>
      </c>
      <c r="E514" t="s">
        <v>95</v>
      </c>
      <c r="F514" t="s">
        <v>96</v>
      </c>
      <c r="G514" t="s">
        <v>19</v>
      </c>
      <c r="H514" t="s">
        <v>38</v>
      </c>
      <c r="I514" t="s">
        <v>39</v>
      </c>
      <c r="J514">
        <v>1422.15</v>
      </c>
      <c r="K514">
        <v>3</v>
      </c>
      <c r="L514">
        <v>423.86</v>
      </c>
      <c r="M514" t="s">
        <v>63</v>
      </c>
      <c r="N514" t="s">
        <v>32</v>
      </c>
    </row>
    <row r="515" spans="1:14">
      <c r="A515" t="s">
        <v>656</v>
      </c>
      <c r="B515" s="1">
        <v>45038</v>
      </c>
      <c r="C515" t="s">
        <v>61</v>
      </c>
      <c r="D515" t="s">
        <v>62</v>
      </c>
      <c r="E515" t="s">
        <v>49</v>
      </c>
      <c r="F515" t="s">
        <v>49</v>
      </c>
      <c r="G515" t="s">
        <v>50</v>
      </c>
      <c r="H515" t="s">
        <v>154</v>
      </c>
      <c r="I515" t="s">
        <v>93</v>
      </c>
      <c r="J515">
        <v>2201.5</v>
      </c>
      <c r="K515">
        <v>2</v>
      </c>
      <c r="L515">
        <v>328.62</v>
      </c>
      <c r="M515" t="s">
        <v>40</v>
      </c>
      <c r="N515" t="s">
        <v>32</v>
      </c>
    </row>
    <row r="516" spans="1:14">
      <c r="A516" t="s">
        <v>657</v>
      </c>
      <c r="B516" s="1">
        <v>45138</v>
      </c>
      <c r="C516" t="s">
        <v>220</v>
      </c>
      <c r="D516" t="s">
        <v>221</v>
      </c>
      <c r="E516" t="s">
        <v>17</v>
      </c>
      <c r="F516" t="s">
        <v>18</v>
      </c>
      <c r="G516" t="s">
        <v>19</v>
      </c>
      <c r="H516" t="s">
        <v>147</v>
      </c>
      <c r="I516" t="s">
        <v>93</v>
      </c>
      <c r="J516">
        <v>3398.3</v>
      </c>
      <c r="K516">
        <v>2</v>
      </c>
      <c r="L516">
        <v>590.23</v>
      </c>
      <c r="M516" t="s">
        <v>22</v>
      </c>
      <c r="N516" t="s">
        <v>32</v>
      </c>
    </row>
    <row r="517" spans="1:14">
      <c r="A517" t="s">
        <v>658</v>
      </c>
      <c r="B517" s="1">
        <v>45204</v>
      </c>
      <c r="C517" t="s">
        <v>170</v>
      </c>
      <c r="D517" t="s">
        <v>171</v>
      </c>
      <c r="E517" t="s">
        <v>124</v>
      </c>
      <c r="F517" t="s">
        <v>125</v>
      </c>
      <c r="G517" t="s">
        <v>50</v>
      </c>
      <c r="H517" t="s">
        <v>89</v>
      </c>
      <c r="I517" t="s">
        <v>21</v>
      </c>
      <c r="J517">
        <v>6476.4</v>
      </c>
      <c r="K517">
        <v>4</v>
      </c>
      <c r="L517">
        <v>980.3</v>
      </c>
      <c r="M517" t="s">
        <v>22</v>
      </c>
      <c r="N517" t="s">
        <v>32</v>
      </c>
    </row>
    <row r="518" spans="1:14">
      <c r="A518" t="s">
        <v>659</v>
      </c>
      <c r="B518" s="1">
        <v>45020</v>
      </c>
      <c r="C518" t="s">
        <v>43</v>
      </c>
      <c r="D518" t="s">
        <v>44</v>
      </c>
      <c r="E518" t="s">
        <v>17</v>
      </c>
      <c r="F518" t="s">
        <v>18</v>
      </c>
      <c r="G518" t="s">
        <v>19</v>
      </c>
      <c r="H518" t="s">
        <v>38</v>
      </c>
      <c r="I518" t="s">
        <v>39</v>
      </c>
      <c r="J518">
        <v>1796.4</v>
      </c>
      <c r="K518">
        <v>4</v>
      </c>
      <c r="L518">
        <v>490.3</v>
      </c>
      <c r="M518" t="s">
        <v>90</v>
      </c>
      <c r="N518" t="s">
        <v>32</v>
      </c>
    </row>
    <row r="519" spans="1:14">
      <c r="A519" t="s">
        <v>660</v>
      </c>
      <c r="B519" s="1">
        <v>45206</v>
      </c>
      <c r="C519" t="s">
        <v>132</v>
      </c>
      <c r="D519" t="s">
        <v>133</v>
      </c>
      <c r="E519" t="s">
        <v>124</v>
      </c>
      <c r="F519" t="s">
        <v>125</v>
      </c>
      <c r="G519" t="s">
        <v>50</v>
      </c>
      <c r="H519" t="s">
        <v>70</v>
      </c>
      <c r="I519" t="s">
        <v>39</v>
      </c>
      <c r="J519">
        <v>663</v>
      </c>
      <c r="K519">
        <v>1</v>
      </c>
      <c r="L519">
        <v>152.25</v>
      </c>
      <c r="M519" t="s">
        <v>22</v>
      </c>
      <c r="N519" t="s">
        <v>130</v>
      </c>
    </row>
    <row r="520" spans="1:14">
      <c r="A520" t="s">
        <v>661</v>
      </c>
      <c r="B520" s="1">
        <v>45223</v>
      </c>
      <c r="C520" t="s">
        <v>119</v>
      </c>
      <c r="D520" t="s">
        <v>120</v>
      </c>
      <c r="E520" t="s">
        <v>95</v>
      </c>
      <c r="F520" t="s">
        <v>96</v>
      </c>
      <c r="G520" t="s">
        <v>19</v>
      </c>
      <c r="H520" t="s">
        <v>154</v>
      </c>
      <c r="I520" t="s">
        <v>93</v>
      </c>
      <c r="J520">
        <v>2331</v>
      </c>
      <c r="K520">
        <v>2</v>
      </c>
      <c r="L520">
        <v>425.75</v>
      </c>
      <c r="M520" t="s">
        <v>22</v>
      </c>
      <c r="N520" t="s">
        <v>32</v>
      </c>
    </row>
    <row r="521" spans="1:14">
      <c r="A521" t="s">
        <v>662</v>
      </c>
      <c r="B521" s="1">
        <v>45123</v>
      </c>
      <c r="C521" t="s">
        <v>119</v>
      </c>
      <c r="D521" t="s">
        <v>120</v>
      </c>
      <c r="E521" t="s">
        <v>87</v>
      </c>
      <c r="F521" t="s">
        <v>88</v>
      </c>
      <c r="G521" t="s">
        <v>29</v>
      </c>
      <c r="H521" t="s">
        <v>177</v>
      </c>
      <c r="I521" t="s">
        <v>93</v>
      </c>
      <c r="J521">
        <v>3597.6</v>
      </c>
      <c r="K521">
        <v>3</v>
      </c>
      <c r="L521">
        <v>465.45</v>
      </c>
      <c r="M521" t="s">
        <v>22</v>
      </c>
      <c r="N521" t="s">
        <v>32</v>
      </c>
    </row>
    <row r="522" spans="1:14">
      <c r="A522" t="s">
        <v>663</v>
      </c>
      <c r="B522" s="1">
        <v>45137</v>
      </c>
      <c r="C522" t="s">
        <v>113</v>
      </c>
      <c r="D522" t="s">
        <v>114</v>
      </c>
      <c r="E522" t="s">
        <v>103</v>
      </c>
      <c r="F522" t="s">
        <v>104</v>
      </c>
      <c r="G522" t="s">
        <v>19</v>
      </c>
      <c r="H522" t="s">
        <v>173</v>
      </c>
      <c r="I522" t="s">
        <v>59</v>
      </c>
      <c r="J522">
        <v>11607.3</v>
      </c>
      <c r="K522">
        <v>3</v>
      </c>
      <c r="L522">
        <v>1192.72</v>
      </c>
      <c r="M522" t="s">
        <v>22</v>
      </c>
      <c r="N522" t="s">
        <v>32</v>
      </c>
    </row>
    <row r="523" spans="1:14">
      <c r="A523" t="s">
        <v>664</v>
      </c>
      <c r="B523" s="1">
        <v>45281</v>
      </c>
      <c r="C523" t="s">
        <v>145</v>
      </c>
      <c r="D523" t="s">
        <v>146</v>
      </c>
      <c r="E523" t="s">
        <v>87</v>
      </c>
      <c r="F523" t="s">
        <v>88</v>
      </c>
      <c r="G523" t="s">
        <v>29</v>
      </c>
      <c r="H523" t="s">
        <v>261</v>
      </c>
      <c r="I523" t="s">
        <v>21</v>
      </c>
      <c r="J523">
        <v>19799.099999999999</v>
      </c>
      <c r="K523">
        <v>1</v>
      </c>
      <c r="L523">
        <v>750.07</v>
      </c>
      <c r="M523" t="s">
        <v>22</v>
      </c>
      <c r="N523" t="s">
        <v>32</v>
      </c>
    </row>
    <row r="524" spans="1:14">
      <c r="A524" t="s">
        <v>665</v>
      </c>
      <c r="B524" s="1">
        <v>44991</v>
      </c>
      <c r="C524" t="s">
        <v>101</v>
      </c>
      <c r="D524" t="s">
        <v>102</v>
      </c>
      <c r="E524" t="s">
        <v>95</v>
      </c>
      <c r="F524" t="s">
        <v>96</v>
      </c>
      <c r="G524" t="s">
        <v>19</v>
      </c>
      <c r="H524" t="s">
        <v>115</v>
      </c>
      <c r="I524" t="s">
        <v>93</v>
      </c>
      <c r="J524">
        <v>3836.8</v>
      </c>
      <c r="K524">
        <v>4</v>
      </c>
      <c r="L524">
        <v>440.6</v>
      </c>
      <c r="M524" t="s">
        <v>22</v>
      </c>
      <c r="N524" t="s">
        <v>32</v>
      </c>
    </row>
    <row r="525" spans="1:14">
      <c r="A525" t="s">
        <v>666</v>
      </c>
      <c r="B525" s="1">
        <v>45248</v>
      </c>
      <c r="C525" t="s">
        <v>101</v>
      </c>
      <c r="D525" t="s">
        <v>102</v>
      </c>
      <c r="E525" t="s">
        <v>95</v>
      </c>
      <c r="F525" t="s">
        <v>96</v>
      </c>
      <c r="G525" t="s">
        <v>19</v>
      </c>
      <c r="H525" t="s">
        <v>126</v>
      </c>
      <c r="I525" t="s">
        <v>21</v>
      </c>
      <c r="J525">
        <v>39999</v>
      </c>
      <c r="K525">
        <v>1</v>
      </c>
      <c r="L525">
        <v>4800</v>
      </c>
      <c r="M525" t="s">
        <v>40</v>
      </c>
      <c r="N525" t="s">
        <v>130</v>
      </c>
    </row>
    <row r="526" spans="1:14">
      <c r="A526" t="s">
        <v>667</v>
      </c>
      <c r="B526" s="1">
        <v>45205</v>
      </c>
      <c r="C526" t="s">
        <v>47</v>
      </c>
      <c r="D526" t="s">
        <v>48</v>
      </c>
      <c r="E526" t="s">
        <v>87</v>
      </c>
      <c r="F526" t="s">
        <v>88</v>
      </c>
      <c r="G526" t="s">
        <v>29</v>
      </c>
      <c r="H526" t="s">
        <v>126</v>
      </c>
      <c r="I526" t="s">
        <v>21</v>
      </c>
      <c r="J526">
        <v>39999</v>
      </c>
      <c r="K526">
        <v>1</v>
      </c>
      <c r="L526">
        <v>4800</v>
      </c>
      <c r="M526" t="s">
        <v>22</v>
      </c>
      <c r="N526" t="s">
        <v>32</v>
      </c>
    </row>
    <row r="527" spans="1:14">
      <c r="A527" t="s">
        <v>668</v>
      </c>
      <c r="B527" s="1">
        <v>45150</v>
      </c>
      <c r="C527" t="s">
        <v>65</v>
      </c>
      <c r="D527" t="s">
        <v>66</v>
      </c>
      <c r="E527" t="s">
        <v>27</v>
      </c>
      <c r="F527" t="s">
        <v>28</v>
      </c>
      <c r="G527" t="s">
        <v>29</v>
      </c>
      <c r="H527" t="s">
        <v>137</v>
      </c>
      <c r="I527" t="s">
        <v>93</v>
      </c>
      <c r="J527">
        <v>3222</v>
      </c>
      <c r="K527">
        <v>2</v>
      </c>
      <c r="L527">
        <v>511.5</v>
      </c>
      <c r="M527" t="s">
        <v>52</v>
      </c>
      <c r="N527" t="s">
        <v>32</v>
      </c>
    </row>
    <row r="528" spans="1:14">
      <c r="A528" t="s">
        <v>669</v>
      </c>
      <c r="B528" s="1">
        <v>45007</v>
      </c>
      <c r="C528" t="s">
        <v>132</v>
      </c>
      <c r="D528" t="s">
        <v>133</v>
      </c>
      <c r="E528" t="s">
        <v>84</v>
      </c>
      <c r="F528" t="s">
        <v>85</v>
      </c>
      <c r="G528" t="s">
        <v>69</v>
      </c>
      <c r="H528" t="s">
        <v>184</v>
      </c>
      <c r="I528" t="s">
        <v>39</v>
      </c>
      <c r="J528">
        <v>525</v>
      </c>
      <c r="K528">
        <v>1</v>
      </c>
      <c r="L528">
        <v>-78.75</v>
      </c>
      <c r="M528" t="s">
        <v>40</v>
      </c>
      <c r="N528" t="s">
        <v>75</v>
      </c>
    </row>
    <row r="529" spans="1:14">
      <c r="A529" t="s">
        <v>670</v>
      </c>
      <c r="B529" s="1">
        <v>45247</v>
      </c>
      <c r="C529" t="s">
        <v>119</v>
      </c>
      <c r="D529" t="s">
        <v>120</v>
      </c>
      <c r="E529" t="s">
        <v>84</v>
      </c>
      <c r="F529" t="s">
        <v>85</v>
      </c>
      <c r="G529" t="s">
        <v>69</v>
      </c>
      <c r="H529" t="s">
        <v>105</v>
      </c>
      <c r="I529" t="s">
        <v>59</v>
      </c>
      <c r="J529">
        <v>49996</v>
      </c>
      <c r="K529">
        <v>4</v>
      </c>
      <c r="L529">
        <v>-5800</v>
      </c>
      <c r="M529" t="s">
        <v>22</v>
      </c>
      <c r="N529" t="s">
        <v>32</v>
      </c>
    </row>
    <row r="530" spans="1:14">
      <c r="A530" t="s">
        <v>671</v>
      </c>
      <c r="B530" s="1">
        <v>45219</v>
      </c>
      <c r="C530" t="s">
        <v>119</v>
      </c>
      <c r="D530" t="s">
        <v>120</v>
      </c>
      <c r="E530" t="s">
        <v>17</v>
      </c>
      <c r="F530" t="s">
        <v>18</v>
      </c>
      <c r="G530" t="s">
        <v>19</v>
      </c>
      <c r="H530" t="s">
        <v>92</v>
      </c>
      <c r="I530" t="s">
        <v>93</v>
      </c>
      <c r="J530">
        <v>2249.1</v>
      </c>
      <c r="K530">
        <v>1</v>
      </c>
      <c r="L530">
        <v>462.57</v>
      </c>
      <c r="M530" t="s">
        <v>40</v>
      </c>
      <c r="N530" t="s">
        <v>32</v>
      </c>
    </row>
    <row r="531" spans="1:14">
      <c r="A531" t="s">
        <v>672</v>
      </c>
      <c r="B531" s="1">
        <v>45165</v>
      </c>
      <c r="C531" t="s">
        <v>113</v>
      </c>
      <c r="D531" t="s">
        <v>114</v>
      </c>
      <c r="E531" t="s">
        <v>103</v>
      </c>
      <c r="F531" t="s">
        <v>104</v>
      </c>
      <c r="G531" t="s">
        <v>19</v>
      </c>
      <c r="H531" t="s">
        <v>92</v>
      </c>
      <c r="I531" t="s">
        <v>93</v>
      </c>
      <c r="J531">
        <v>3998.4</v>
      </c>
      <c r="K531">
        <v>2</v>
      </c>
      <c r="L531">
        <v>550.29999999999995</v>
      </c>
      <c r="M531" t="s">
        <v>90</v>
      </c>
      <c r="N531" t="s">
        <v>32</v>
      </c>
    </row>
    <row r="532" spans="1:14">
      <c r="A532" t="s">
        <v>673</v>
      </c>
      <c r="B532" s="1">
        <v>45109</v>
      </c>
      <c r="C532" t="s">
        <v>160</v>
      </c>
      <c r="D532" t="s">
        <v>161</v>
      </c>
      <c r="E532" t="s">
        <v>27</v>
      </c>
      <c r="F532" t="s">
        <v>28</v>
      </c>
      <c r="G532" t="s">
        <v>29</v>
      </c>
      <c r="H532" t="s">
        <v>51</v>
      </c>
      <c r="I532" t="s">
        <v>31</v>
      </c>
      <c r="J532">
        <v>30596.6</v>
      </c>
      <c r="K532">
        <v>4</v>
      </c>
      <c r="L532">
        <v>750.45</v>
      </c>
      <c r="M532" t="s">
        <v>22</v>
      </c>
      <c r="N532" t="s">
        <v>32</v>
      </c>
    </row>
    <row r="533" spans="1:14">
      <c r="A533" t="s">
        <v>674</v>
      </c>
      <c r="B533" s="1">
        <v>44976</v>
      </c>
      <c r="C533" t="s">
        <v>170</v>
      </c>
      <c r="D533" t="s">
        <v>171</v>
      </c>
      <c r="E533" t="s">
        <v>95</v>
      </c>
      <c r="F533" t="s">
        <v>96</v>
      </c>
      <c r="G533" t="s">
        <v>19</v>
      </c>
      <c r="H533" t="s">
        <v>58</v>
      </c>
      <c r="I533" t="s">
        <v>59</v>
      </c>
      <c r="J533">
        <v>1890</v>
      </c>
      <c r="K533">
        <v>2</v>
      </c>
      <c r="L533">
        <v>420</v>
      </c>
      <c r="M533" t="s">
        <v>22</v>
      </c>
      <c r="N533" t="s">
        <v>32</v>
      </c>
    </row>
    <row r="534" spans="1:14">
      <c r="A534" t="s">
        <v>675</v>
      </c>
      <c r="B534" s="1">
        <v>44966</v>
      </c>
      <c r="C534" t="s">
        <v>77</v>
      </c>
      <c r="D534" t="s">
        <v>78</v>
      </c>
      <c r="E534" t="s">
        <v>135</v>
      </c>
      <c r="F534" t="s">
        <v>136</v>
      </c>
      <c r="G534" t="s">
        <v>69</v>
      </c>
      <c r="H534" t="s">
        <v>206</v>
      </c>
      <c r="I534" t="s">
        <v>21</v>
      </c>
      <c r="J534">
        <v>129998</v>
      </c>
      <c r="K534">
        <v>2</v>
      </c>
      <c r="L534">
        <v>14400</v>
      </c>
      <c r="M534" t="s">
        <v>22</v>
      </c>
      <c r="N534" t="s">
        <v>32</v>
      </c>
    </row>
    <row r="535" spans="1:14">
      <c r="A535" t="s">
        <v>676</v>
      </c>
      <c r="B535" s="1">
        <v>45139</v>
      </c>
      <c r="C535" t="s">
        <v>275</v>
      </c>
      <c r="D535" t="s">
        <v>276</v>
      </c>
      <c r="E535" t="s">
        <v>17</v>
      </c>
      <c r="F535" t="s">
        <v>18</v>
      </c>
      <c r="G535" t="s">
        <v>19</v>
      </c>
      <c r="H535" t="s">
        <v>261</v>
      </c>
      <c r="I535" t="s">
        <v>21</v>
      </c>
      <c r="J535">
        <v>37398.300000000003</v>
      </c>
      <c r="K535">
        <v>2</v>
      </c>
      <c r="L535">
        <v>-149.77000000000001</v>
      </c>
      <c r="M535" t="s">
        <v>22</v>
      </c>
      <c r="N535" t="s">
        <v>130</v>
      </c>
    </row>
    <row r="536" spans="1:14">
      <c r="A536" t="s">
        <v>677</v>
      </c>
      <c r="B536" s="1">
        <v>45108</v>
      </c>
      <c r="C536" t="s">
        <v>101</v>
      </c>
      <c r="D536" t="s">
        <v>102</v>
      </c>
      <c r="E536" t="s">
        <v>27</v>
      </c>
      <c r="F536" t="s">
        <v>28</v>
      </c>
      <c r="G536" t="s">
        <v>29</v>
      </c>
      <c r="H536" t="s">
        <v>215</v>
      </c>
      <c r="I536" t="s">
        <v>59</v>
      </c>
      <c r="J536">
        <v>17547.3</v>
      </c>
      <c r="K536">
        <v>3</v>
      </c>
      <c r="L536">
        <v>1387.72</v>
      </c>
      <c r="M536" t="s">
        <v>22</v>
      </c>
      <c r="N536" t="s">
        <v>32</v>
      </c>
    </row>
    <row r="537" spans="1:14">
      <c r="A537" t="s">
        <v>678</v>
      </c>
      <c r="B537" s="1">
        <v>45178</v>
      </c>
      <c r="C537" t="s">
        <v>202</v>
      </c>
      <c r="D537" t="s">
        <v>203</v>
      </c>
      <c r="E537" t="s">
        <v>84</v>
      </c>
      <c r="F537" t="s">
        <v>85</v>
      </c>
      <c r="G537" t="s">
        <v>69</v>
      </c>
      <c r="H537" t="s">
        <v>45</v>
      </c>
      <c r="I537" t="s">
        <v>21</v>
      </c>
      <c r="J537">
        <v>2598</v>
      </c>
      <c r="K537">
        <v>2</v>
      </c>
      <c r="L537">
        <v>640</v>
      </c>
      <c r="M537" t="s">
        <v>40</v>
      </c>
      <c r="N537" t="s">
        <v>32</v>
      </c>
    </row>
    <row r="538" spans="1:14">
      <c r="A538" t="s">
        <v>679</v>
      </c>
      <c r="B538" s="1">
        <v>44974</v>
      </c>
      <c r="C538" t="s">
        <v>54</v>
      </c>
      <c r="D538" t="s">
        <v>55</v>
      </c>
      <c r="E538" t="s">
        <v>49</v>
      </c>
      <c r="F538" t="s">
        <v>49</v>
      </c>
      <c r="G538" t="s">
        <v>50</v>
      </c>
      <c r="H538" t="s">
        <v>137</v>
      </c>
      <c r="I538" t="s">
        <v>93</v>
      </c>
      <c r="J538">
        <v>1790</v>
      </c>
      <c r="K538">
        <v>1</v>
      </c>
      <c r="L538">
        <v>390</v>
      </c>
      <c r="M538" t="s">
        <v>90</v>
      </c>
      <c r="N538" t="s">
        <v>32</v>
      </c>
    </row>
    <row r="539" spans="1:14">
      <c r="A539" t="s">
        <v>680</v>
      </c>
      <c r="B539" s="1">
        <v>45117</v>
      </c>
      <c r="C539" t="s">
        <v>34</v>
      </c>
      <c r="D539" t="s">
        <v>35</v>
      </c>
      <c r="E539" t="s">
        <v>84</v>
      </c>
      <c r="F539" t="s">
        <v>85</v>
      </c>
      <c r="G539" t="s">
        <v>69</v>
      </c>
      <c r="H539" t="s">
        <v>89</v>
      </c>
      <c r="I539" t="s">
        <v>21</v>
      </c>
      <c r="J539">
        <v>5756.8</v>
      </c>
      <c r="K539">
        <v>4</v>
      </c>
      <c r="L539">
        <v>440.6</v>
      </c>
      <c r="M539" t="s">
        <v>52</v>
      </c>
      <c r="N539" t="s">
        <v>32</v>
      </c>
    </row>
    <row r="540" spans="1:14">
      <c r="A540" t="s">
        <v>681</v>
      </c>
      <c r="B540" s="1">
        <v>45031</v>
      </c>
      <c r="C540" t="s">
        <v>54</v>
      </c>
      <c r="D540" t="s">
        <v>55</v>
      </c>
      <c r="E540" t="s">
        <v>36</v>
      </c>
      <c r="F540" t="s">
        <v>37</v>
      </c>
      <c r="G540" t="s">
        <v>19</v>
      </c>
      <c r="H540" t="s">
        <v>126</v>
      </c>
      <c r="I540" t="s">
        <v>21</v>
      </c>
      <c r="J540">
        <v>79998</v>
      </c>
      <c r="K540">
        <v>2</v>
      </c>
      <c r="L540">
        <v>0</v>
      </c>
      <c r="M540" t="s">
        <v>63</v>
      </c>
      <c r="N540" t="s">
        <v>23</v>
      </c>
    </row>
    <row r="541" spans="1:14">
      <c r="A541" t="s">
        <v>682</v>
      </c>
      <c r="B541" s="1">
        <v>44983</v>
      </c>
      <c r="C541" t="s">
        <v>275</v>
      </c>
      <c r="D541" t="s">
        <v>276</v>
      </c>
      <c r="E541" t="s">
        <v>67</v>
      </c>
      <c r="F541" t="s">
        <v>68</v>
      </c>
      <c r="G541" t="s">
        <v>69</v>
      </c>
      <c r="H541" t="s">
        <v>143</v>
      </c>
      <c r="I541" t="s">
        <v>59</v>
      </c>
      <c r="J541">
        <v>6078.1</v>
      </c>
      <c r="K541">
        <v>2</v>
      </c>
      <c r="L541">
        <v>860.08</v>
      </c>
      <c r="M541" t="s">
        <v>40</v>
      </c>
      <c r="N541" t="s">
        <v>130</v>
      </c>
    </row>
    <row r="542" spans="1:14">
      <c r="A542" t="s">
        <v>683</v>
      </c>
      <c r="B542" s="1">
        <v>45240</v>
      </c>
      <c r="C542" t="s">
        <v>65</v>
      </c>
      <c r="D542" t="s">
        <v>66</v>
      </c>
      <c r="E542" t="s">
        <v>157</v>
      </c>
      <c r="F542" t="s">
        <v>158</v>
      </c>
      <c r="G542" t="s">
        <v>29</v>
      </c>
      <c r="H542" t="s">
        <v>128</v>
      </c>
      <c r="I542" t="s">
        <v>31</v>
      </c>
      <c r="J542">
        <v>5980</v>
      </c>
      <c r="K542">
        <v>4</v>
      </c>
      <c r="L542">
        <v>1400</v>
      </c>
      <c r="M542" t="s">
        <v>40</v>
      </c>
      <c r="N542" t="s">
        <v>32</v>
      </c>
    </row>
    <row r="543" spans="1:14">
      <c r="A543" t="s">
        <v>684</v>
      </c>
      <c r="B543" s="1">
        <v>45170</v>
      </c>
      <c r="C543" t="s">
        <v>175</v>
      </c>
      <c r="D543" t="s">
        <v>176</v>
      </c>
      <c r="E543" t="s">
        <v>87</v>
      </c>
      <c r="F543" t="s">
        <v>88</v>
      </c>
      <c r="G543" t="s">
        <v>29</v>
      </c>
      <c r="H543" t="s">
        <v>45</v>
      </c>
      <c r="I543" t="s">
        <v>21</v>
      </c>
      <c r="J543">
        <v>1104.1500000000001</v>
      </c>
      <c r="K543">
        <v>1</v>
      </c>
      <c r="L543">
        <v>173.86</v>
      </c>
      <c r="M543" t="s">
        <v>63</v>
      </c>
      <c r="N543" t="s">
        <v>32</v>
      </c>
    </row>
    <row r="544" spans="1:14">
      <c r="A544" t="s">
        <v>685</v>
      </c>
      <c r="B544" s="1">
        <v>44956</v>
      </c>
      <c r="C544" t="s">
        <v>15</v>
      </c>
      <c r="D544" t="s">
        <v>16</v>
      </c>
      <c r="E544" t="s">
        <v>27</v>
      </c>
      <c r="F544" t="s">
        <v>28</v>
      </c>
      <c r="G544" t="s">
        <v>29</v>
      </c>
      <c r="H544" t="s">
        <v>230</v>
      </c>
      <c r="I544" t="s">
        <v>39</v>
      </c>
      <c r="J544">
        <v>649</v>
      </c>
      <c r="K544">
        <v>1</v>
      </c>
      <c r="L544">
        <v>220</v>
      </c>
      <c r="M544" t="s">
        <v>63</v>
      </c>
      <c r="N544" t="s">
        <v>32</v>
      </c>
    </row>
    <row r="545" spans="1:14">
      <c r="A545" t="s">
        <v>686</v>
      </c>
      <c r="B545" s="1">
        <v>45038</v>
      </c>
      <c r="C545" t="s">
        <v>101</v>
      </c>
      <c r="D545" t="s">
        <v>102</v>
      </c>
      <c r="E545" t="s">
        <v>157</v>
      </c>
      <c r="F545" t="s">
        <v>158</v>
      </c>
      <c r="G545" t="s">
        <v>29</v>
      </c>
      <c r="H545" t="s">
        <v>20</v>
      </c>
      <c r="I545" t="s">
        <v>21</v>
      </c>
      <c r="J545">
        <v>4796</v>
      </c>
      <c r="K545">
        <v>4</v>
      </c>
      <c r="L545">
        <v>1040</v>
      </c>
      <c r="M545" t="s">
        <v>22</v>
      </c>
      <c r="N545" t="s">
        <v>32</v>
      </c>
    </row>
    <row r="546" spans="1:14">
      <c r="A546" t="s">
        <v>687</v>
      </c>
      <c r="B546" s="1">
        <v>45183</v>
      </c>
      <c r="C546" t="s">
        <v>81</v>
      </c>
      <c r="D546" t="s">
        <v>82</v>
      </c>
      <c r="E546" t="s">
        <v>98</v>
      </c>
      <c r="F546" t="s">
        <v>68</v>
      </c>
      <c r="G546" t="s">
        <v>69</v>
      </c>
      <c r="H546" t="s">
        <v>45</v>
      </c>
      <c r="I546" t="s">
        <v>21</v>
      </c>
      <c r="J546">
        <v>1299</v>
      </c>
      <c r="K546">
        <v>1</v>
      </c>
      <c r="L546">
        <v>320</v>
      </c>
      <c r="M546" t="s">
        <v>22</v>
      </c>
      <c r="N546" t="s">
        <v>32</v>
      </c>
    </row>
    <row r="547" spans="1:14">
      <c r="A547" t="s">
        <v>688</v>
      </c>
      <c r="B547" s="1">
        <v>44931</v>
      </c>
      <c r="C547" t="s">
        <v>220</v>
      </c>
      <c r="D547" t="s">
        <v>221</v>
      </c>
      <c r="E547" t="s">
        <v>157</v>
      </c>
      <c r="F547" t="s">
        <v>158</v>
      </c>
      <c r="G547" t="s">
        <v>29</v>
      </c>
      <c r="H547" t="s">
        <v>206</v>
      </c>
      <c r="I547" t="s">
        <v>21</v>
      </c>
      <c r="J547">
        <v>259996</v>
      </c>
      <c r="K547">
        <v>4</v>
      </c>
      <c r="L547">
        <v>28800</v>
      </c>
      <c r="M547" t="s">
        <v>63</v>
      </c>
      <c r="N547" t="s">
        <v>32</v>
      </c>
    </row>
    <row r="548" spans="1:14">
      <c r="A548" t="s">
        <v>689</v>
      </c>
      <c r="B548" s="1">
        <v>45040</v>
      </c>
      <c r="C548" t="s">
        <v>160</v>
      </c>
      <c r="D548" t="s">
        <v>161</v>
      </c>
      <c r="E548" t="s">
        <v>103</v>
      </c>
      <c r="F548" t="s">
        <v>104</v>
      </c>
      <c r="G548" t="s">
        <v>19</v>
      </c>
      <c r="H548" t="s">
        <v>230</v>
      </c>
      <c r="I548" t="s">
        <v>39</v>
      </c>
      <c r="J548">
        <v>2076.8000000000002</v>
      </c>
      <c r="K548">
        <v>4</v>
      </c>
      <c r="L548">
        <v>490.6</v>
      </c>
      <c r="M548" t="s">
        <v>22</v>
      </c>
      <c r="N548" t="s">
        <v>32</v>
      </c>
    </row>
    <row r="549" spans="1:14">
      <c r="A549" t="s">
        <v>690</v>
      </c>
      <c r="B549" s="1">
        <v>45110</v>
      </c>
      <c r="C549" t="s">
        <v>227</v>
      </c>
      <c r="D549" t="s">
        <v>228</v>
      </c>
      <c r="E549" t="s">
        <v>135</v>
      </c>
      <c r="F549" t="s">
        <v>136</v>
      </c>
      <c r="G549" t="s">
        <v>69</v>
      </c>
      <c r="H549" t="s">
        <v>154</v>
      </c>
      <c r="I549" t="s">
        <v>93</v>
      </c>
      <c r="J549">
        <v>5180</v>
      </c>
      <c r="K549">
        <v>4</v>
      </c>
      <c r="L549">
        <v>1240</v>
      </c>
      <c r="M549" t="s">
        <v>52</v>
      </c>
      <c r="N549" t="s">
        <v>32</v>
      </c>
    </row>
    <row r="550" spans="1:14">
      <c r="A550" t="s">
        <v>691</v>
      </c>
      <c r="B550" s="1">
        <v>45074</v>
      </c>
      <c r="C550" t="s">
        <v>101</v>
      </c>
      <c r="D550" t="s">
        <v>102</v>
      </c>
      <c r="E550" t="s">
        <v>27</v>
      </c>
      <c r="F550" t="s">
        <v>28</v>
      </c>
      <c r="G550" t="s">
        <v>29</v>
      </c>
      <c r="H550" t="s">
        <v>126</v>
      </c>
      <c r="I550" t="s">
        <v>21</v>
      </c>
      <c r="J550">
        <v>67998.3</v>
      </c>
      <c r="K550">
        <v>2</v>
      </c>
      <c r="L550">
        <v>600.23</v>
      </c>
      <c r="M550" t="s">
        <v>22</v>
      </c>
      <c r="N550" t="s">
        <v>32</v>
      </c>
    </row>
    <row r="551" spans="1:14">
      <c r="A551" t="s">
        <v>692</v>
      </c>
      <c r="B551" s="1">
        <v>45288</v>
      </c>
      <c r="C551" t="s">
        <v>119</v>
      </c>
      <c r="D551" t="s">
        <v>120</v>
      </c>
      <c r="E551" t="s">
        <v>157</v>
      </c>
      <c r="F551" t="s">
        <v>158</v>
      </c>
      <c r="G551" t="s">
        <v>29</v>
      </c>
      <c r="H551" t="s">
        <v>117</v>
      </c>
      <c r="I551" t="s">
        <v>93</v>
      </c>
      <c r="J551">
        <v>2184.0500000000002</v>
      </c>
      <c r="K551">
        <v>1</v>
      </c>
      <c r="L551">
        <v>-266.20999999999998</v>
      </c>
      <c r="M551" t="s">
        <v>40</v>
      </c>
      <c r="N551" t="s">
        <v>32</v>
      </c>
    </row>
    <row r="552" spans="1:14">
      <c r="A552" t="s">
        <v>693</v>
      </c>
      <c r="B552" s="1">
        <v>45223</v>
      </c>
      <c r="C552" t="s">
        <v>47</v>
      </c>
      <c r="D552" t="s">
        <v>48</v>
      </c>
      <c r="E552" t="s">
        <v>157</v>
      </c>
      <c r="F552" t="s">
        <v>158</v>
      </c>
      <c r="G552" t="s">
        <v>29</v>
      </c>
      <c r="H552" t="s">
        <v>58</v>
      </c>
      <c r="I552" t="s">
        <v>59</v>
      </c>
      <c r="J552">
        <v>2693.25</v>
      </c>
      <c r="K552">
        <v>3</v>
      </c>
      <c r="L552">
        <v>523.69000000000005</v>
      </c>
      <c r="M552" t="s">
        <v>22</v>
      </c>
      <c r="N552" t="s">
        <v>32</v>
      </c>
    </row>
    <row r="553" spans="1:14">
      <c r="A553" t="s">
        <v>694</v>
      </c>
      <c r="B553" s="1">
        <v>45170</v>
      </c>
      <c r="C553" t="s">
        <v>81</v>
      </c>
      <c r="D553" t="s">
        <v>82</v>
      </c>
      <c r="E553" t="s">
        <v>17</v>
      </c>
      <c r="F553" t="s">
        <v>18</v>
      </c>
      <c r="G553" t="s">
        <v>19</v>
      </c>
      <c r="H553" t="s">
        <v>38</v>
      </c>
      <c r="I553" t="s">
        <v>39</v>
      </c>
      <c r="J553">
        <v>499</v>
      </c>
      <c r="K553">
        <v>1</v>
      </c>
      <c r="L553">
        <v>160</v>
      </c>
      <c r="M553" t="s">
        <v>40</v>
      </c>
      <c r="N553" t="s">
        <v>32</v>
      </c>
    </row>
    <row r="554" spans="1:14">
      <c r="A554" t="s">
        <v>695</v>
      </c>
      <c r="B554" s="1">
        <v>45049</v>
      </c>
      <c r="C554" t="s">
        <v>65</v>
      </c>
      <c r="D554" t="s">
        <v>66</v>
      </c>
      <c r="E554" t="s">
        <v>27</v>
      </c>
      <c r="F554" t="s">
        <v>28</v>
      </c>
      <c r="G554" t="s">
        <v>29</v>
      </c>
      <c r="H554" t="s">
        <v>126</v>
      </c>
      <c r="I554" t="s">
        <v>21</v>
      </c>
      <c r="J554">
        <v>79998</v>
      </c>
      <c r="K554">
        <v>2</v>
      </c>
      <c r="L554">
        <v>9600</v>
      </c>
      <c r="M554" t="s">
        <v>63</v>
      </c>
      <c r="N554" t="s">
        <v>32</v>
      </c>
    </row>
    <row r="555" spans="1:14">
      <c r="A555" t="s">
        <v>696</v>
      </c>
      <c r="B555" s="1">
        <v>45118</v>
      </c>
      <c r="C555" t="s">
        <v>149</v>
      </c>
      <c r="D555" t="s">
        <v>150</v>
      </c>
      <c r="E555" t="s">
        <v>141</v>
      </c>
      <c r="F555" t="s">
        <v>142</v>
      </c>
      <c r="G555" t="s">
        <v>50</v>
      </c>
      <c r="H555" t="s">
        <v>184</v>
      </c>
      <c r="I555" t="s">
        <v>39</v>
      </c>
      <c r="J555">
        <v>840</v>
      </c>
      <c r="K555">
        <v>2</v>
      </c>
      <c r="L555">
        <v>192.5</v>
      </c>
      <c r="M555" t="s">
        <v>22</v>
      </c>
      <c r="N555" t="s">
        <v>32</v>
      </c>
    </row>
    <row r="556" spans="1:14">
      <c r="A556" t="s">
        <v>697</v>
      </c>
      <c r="B556" s="1">
        <v>45183</v>
      </c>
      <c r="C556" t="s">
        <v>34</v>
      </c>
      <c r="D556" t="s">
        <v>35</v>
      </c>
      <c r="E556" t="s">
        <v>27</v>
      </c>
      <c r="F556" t="s">
        <v>28</v>
      </c>
      <c r="G556" t="s">
        <v>29</v>
      </c>
      <c r="H556" t="s">
        <v>230</v>
      </c>
      <c r="I556" t="s">
        <v>39</v>
      </c>
      <c r="J556">
        <v>1038.4000000000001</v>
      </c>
      <c r="K556">
        <v>2</v>
      </c>
      <c r="L556">
        <v>245.3</v>
      </c>
      <c r="M556" t="s">
        <v>52</v>
      </c>
      <c r="N556" t="s">
        <v>32</v>
      </c>
    </row>
    <row r="557" spans="1:14">
      <c r="A557" t="s">
        <v>698</v>
      </c>
      <c r="B557" s="1">
        <v>45003</v>
      </c>
      <c r="C557" t="s">
        <v>122</v>
      </c>
      <c r="D557" t="s">
        <v>123</v>
      </c>
      <c r="E557" t="s">
        <v>87</v>
      </c>
      <c r="F557" t="s">
        <v>88</v>
      </c>
      <c r="G557" t="s">
        <v>29</v>
      </c>
      <c r="H557" t="s">
        <v>128</v>
      </c>
      <c r="I557" t="s">
        <v>31</v>
      </c>
      <c r="J557">
        <v>1270.75</v>
      </c>
      <c r="K557">
        <v>1</v>
      </c>
      <c r="L557">
        <v>181.81</v>
      </c>
      <c r="M557" t="s">
        <v>63</v>
      </c>
      <c r="N557" t="s">
        <v>41</v>
      </c>
    </row>
    <row r="558" spans="1:14">
      <c r="A558" t="s">
        <v>699</v>
      </c>
      <c r="B558" s="1">
        <v>45209</v>
      </c>
      <c r="C558" t="s">
        <v>65</v>
      </c>
      <c r="D558" t="s">
        <v>66</v>
      </c>
      <c r="E558" t="s">
        <v>124</v>
      </c>
      <c r="F558" t="s">
        <v>125</v>
      </c>
      <c r="G558" t="s">
        <v>50</v>
      </c>
      <c r="H558" t="s">
        <v>70</v>
      </c>
      <c r="I558" t="s">
        <v>39</v>
      </c>
      <c r="J558">
        <v>2652</v>
      </c>
      <c r="K558">
        <v>4</v>
      </c>
      <c r="L558">
        <v>0</v>
      </c>
      <c r="M558" t="s">
        <v>52</v>
      </c>
      <c r="N558" t="s">
        <v>23</v>
      </c>
    </row>
    <row r="559" spans="1:14">
      <c r="A559" t="s">
        <v>700</v>
      </c>
      <c r="B559" s="1">
        <v>45046</v>
      </c>
      <c r="C559" t="s">
        <v>227</v>
      </c>
      <c r="D559" t="s">
        <v>228</v>
      </c>
      <c r="E559" t="s">
        <v>98</v>
      </c>
      <c r="F559" t="s">
        <v>68</v>
      </c>
      <c r="G559" t="s">
        <v>69</v>
      </c>
      <c r="H559" t="s">
        <v>128</v>
      </c>
      <c r="I559" t="s">
        <v>31</v>
      </c>
      <c r="J559">
        <v>1495</v>
      </c>
      <c r="K559">
        <v>1</v>
      </c>
      <c r="L559">
        <v>350</v>
      </c>
      <c r="M559" t="s">
        <v>90</v>
      </c>
      <c r="N559" t="s">
        <v>32</v>
      </c>
    </row>
    <row r="560" spans="1:14">
      <c r="A560" t="s">
        <v>701</v>
      </c>
      <c r="B560" s="1">
        <v>45107</v>
      </c>
      <c r="C560" t="s">
        <v>77</v>
      </c>
      <c r="D560" t="s">
        <v>78</v>
      </c>
      <c r="E560" t="s">
        <v>17</v>
      </c>
      <c r="F560" t="s">
        <v>18</v>
      </c>
      <c r="G560" t="s">
        <v>19</v>
      </c>
      <c r="H560" t="s">
        <v>173</v>
      </c>
      <c r="I560" t="s">
        <v>59</v>
      </c>
      <c r="J560">
        <v>12252.15</v>
      </c>
      <c r="K560">
        <v>3</v>
      </c>
      <c r="L560">
        <v>1676.36</v>
      </c>
      <c r="M560" t="s">
        <v>22</v>
      </c>
      <c r="N560" t="s">
        <v>32</v>
      </c>
    </row>
    <row r="561" spans="1:14">
      <c r="A561" t="s">
        <v>702</v>
      </c>
      <c r="B561" s="1">
        <v>45280</v>
      </c>
      <c r="C561" t="s">
        <v>65</v>
      </c>
      <c r="D561" t="s">
        <v>66</v>
      </c>
      <c r="E561" t="s">
        <v>124</v>
      </c>
      <c r="F561" t="s">
        <v>125</v>
      </c>
      <c r="G561" t="s">
        <v>50</v>
      </c>
      <c r="H561" t="s">
        <v>184</v>
      </c>
      <c r="I561" t="s">
        <v>39</v>
      </c>
      <c r="J561">
        <v>472.5</v>
      </c>
      <c r="K561">
        <v>1</v>
      </c>
      <c r="L561">
        <v>135.62</v>
      </c>
      <c r="M561" t="s">
        <v>22</v>
      </c>
      <c r="N561" t="s">
        <v>32</v>
      </c>
    </row>
    <row r="562" spans="1:14">
      <c r="A562" t="s">
        <v>703</v>
      </c>
      <c r="B562" s="1">
        <v>45071</v>
      </c>
      <c r="C562" t="s">
        <v>160</v>
      </c>
      <c r="D562" t="s">
        <v>161</v>
      </c>
      <c r="E562" t="s">
        <v>84</v>
      </c>
      <c r="F562" t="s">
        <v>85</v>
      </c>
      <c r="G562" t="s">
        <v>69</v>
      </c>
      <c r="H562" t="s">
        <v>38</v>
      </c>
      <c r="I562" t="s">
        <v>39</v>
      </c>
      <c r="J562">
        <v>798.4</v>
      </c>
      <c r="K562">
        <v>2</v>
      </c>
      <c r="L562">
        <v>170.3</v>
      </c>
      <c r="M562" t="s">
        <v>40</v>
      </c>
      <c r="N562" t="s">
        <v>32</v>
      </c>
    </row>
    <row r="563" spans="1:14">
      <c r="A563" t="s">
        <v>704</v>
      </c>
      <c r="B563" s="1">
        <v>45264</v>
      </c>
      <c r="C563" t="s">
        <v>43</v>
      </c>
      <c r="D563" t="s">
        <v>44</v>
      </c>
      <c r="E563" t="s">
        <v>98</v>
      </c>
      <c r="F563" t="s">
        <v>68</v>
      </c>
      <c r="G563" t="s">
        <v>69</v>
      </c>
      <c r="H563" t="s">
        <v>117</v>
      </c>
      <c r="I563" t="s">
        <v>93</v>
      </c>
      <c r="J563">
        <v>5862.45</v>
      </c>
      <c r="K563">
        <v>3</v>
      </c>
      <c r="L563">
        <v>-1315.91</v>
      </c>
      <c r="M563" t="s">
        <v>63</v>
      </c>
      <c r="N563" t="s">
        <v>41</v>
      </c>
    </row>
    <row r="564" spans="1:14">
      <c r="A564" t="s">
        <v>705</v>
      </c>
      <c r="B564" s="1">
        <v>45156</v>
      </c>
      <c r="C564" t="s">
        <v>77</v>
      </c>
      <c r="D564" t="s">
        <v>78</v>
      </c>
      <c r="E564" t="s">
        <v>98</v>
      </c>
      <c r="F564" t="s">
        <v>68</v>
      </c>
      <c r="G564" t="s">
        <v>69</v>
      </c>
      <c r="H564" t="s">
        <v>177</v>
      </c>
      <c r="I564" t="s">
        <v>93</v>
      </c>
      <c r="J564">
        <v>3597.6</v>
      </c>
      <c r="K564">
        <v>3</v>
      </c>
      <c r="L564">
        <v>465.45</v>
      </c>
      <c r="M564" t="s">
        <v>63</v>
      </c>
      <c r="N564" t="s">
        <v>130</v>
      </c>
    </row>
    <row r="565" spans="1:14">
      <c r="A565" t="s">
        <v>706</v>
      </c>
      <c r="B565" s="1">
        <v>45238</v>
      </c>
      <c r="C565" t="s">
        <v>275</v>
      </c>
      <c r="D565" t="s">
        <v>276</v>
      </c>
      <c r="E565" t="s">
        <v>157</v>
      </c>
      <c r="F565" t="s">
        <v>158</v>
      </c>
      <c r="G565" t="s">
        <v>29</v>
      </c>
      <c r="H565" t="s">
        <v>51</v>
      </c>
      <c r="I565" t="s">
        <v>31</v>
      </c>
      <c r="J565">
        <v>28796.799999999999</v>
      </c>
      <c r="K565">
        <v>4</v>
      </c>
      <c r="L565">
        <v>-599.4</v>
      </c>
      <c r="M565" t="s">
        <v>63</v>
      </c>
      <c r="N565" t="s">
        <v>32</v>
      </c>
    </row>
    <row r="566" spans="1:14">
      <c r="A566" t="s">
        <v>707</v>
      </c>
      <c r="B566" s="1">
        <v>45212</v>
      </c>
      <c r="C566" t="s">
        <v>101</v>
      </c>
      <c r="D566" t="s">
        <v>102</v>
      </c>
      <c r="E566" t="s">
        <v>141</v>
      </c>
      <c r="F566" t="s">
        <v>142</v>
      </c>
      <c r="G566" t="s">
        <v>50</v>
      </c>
      <c r="H566" t="s">
        <v>189</v>
      </c>
      <c r="I566" t="s">
        <v>59</v>
      </c>
      <c r="J566">
        <v>6660</v>
      </c>
      <c r="K566">
        <v>4</v>
      </c>
      <c r="L566">
        <v>805</v>
      </c>
      <c r="M566" t="s">
        <v>22</v>
      </c>
      <c r="N566" t="s">
        <v>32</v>
      </c>
    </row>
    <row r="567" spans="1:14">
      <c r="A567" t="s">
        <v>708</v>
      </c>
      <c r="B567" s="1">
        <v>45035</v>
      </c>
      <c r="C567" t="s">
        <v>72</v>
      </c>
      <c r="D567" t="s">
        <v>73</v>
      </c>
      <c r="E567" t="s">
        <v>17</v>
      </c>
      <c r="F567" t="s">
        <v>18</v>
      </c>
      <c r="G567" t="s">
        <v>19</v>
      </c>
      <c r="H567" t="s">
        <v>189</v>
      </c>
      <c r="I567" t="s">
        <v>59</v>
      </c>
      <c r="J567">
        <v>4717.5</v>
      </c>
      <c r="K567">
        <v>3</v>
      </c>
      <c r="L567">
        <v>395.62</v>
      </c>
      <c r="M567" t="s">
        <v>52</v>
      </c>
      <c r="N567" t="s">
        <v>32</v>
      </c>
    </row>
    <row r="568" spans="1:14">
      <c r="A568" t="s">
        <v>709</v>
      </c>
      <c r="B568" s="1">
        <v>44998</v>
      </c>
      <c r="C568" t="s">
        <v>119</v>
      </c>
      <c r="D568" t="s">
        <v>120</v>
      </c>
      <c r="E568" t="s">
        <v>17</v>
      </c>
      <c r="F568" t="s">
        <v>18</v>
      </c>
      <c r="G568" t="s">
        <v>19</v>
      </c>
      <c r="H568" t="s">
        <v>215</v>
      </c>
      <c r="I568" t="s">
        <v>59</v>
      </c>
      <c r="J568">
        <v>5849.1</v>
      </c>
      <c r="K568">
        <v>1</v>
      </c>
      <c r="L568">
        <v>462.57</v>
      </c>
      <c r="M568" t="s">
        <v>22</v>
      </c>
      <c r="N568" t="s">
        <v>130</v>
      </c>
    </row>
    <row r="569" spans="1:14">
      <c r="A569" t="s">
        <v>710</v>
      </c>
      <c r="B569" s="1">
        <v>45217</v>
      </c>
      <c r="C569" t="s">
        <v>43</v>
      </c>
      <c r="D569" t="s">
        <v>44</v>
      </c>
      <c r="E569" t="s">
        <v>103</v>
      </c>
      <c r="F569" t="s">
        <v>104</v>
      </c>
      <c r="G569" t="s">
        <v>19</v>
      </c>
      <c r="H569" t="s">
        <v>30</v>
      </c>
      <c r="I569" t="s">
        <v>31</v>
      </c>
      <c r="J569">
        <v>2547</v>
      </c>
      <c r="K569">
        <v>3</v>
      </c>
      <c r="L569">
        <v>630</v>
      </c>
      <c r="M569" t="s">
        <v>22</v>
      </c>
      <c r="N569" t="s">
        <v>32</v>
      </c>
    </row>
    <row r="570" spans="1:14">
      <c r="A570" t="s">
        <v>711</v>
      </c>
      <c r="B570" s="1">
        <v>45042</v>
      </c>
      <c r="C570" t="s">
        <v>145</v>
      </c>
      <c r="D570" t="s">
        <v>146</v>
      </c>
      <c r="E570" t="s">
        <v>67</v>
      </c>
      <c r="F570" t="s">
        <v>68</v>
      </c>
      <c r="G570" t="s">
        <v>69</v>
      </c>
      <c r="H570" t="s">
        <v>109</v>
      </c>
      <c r="I570" t="s">
        <v>31</v>
      </c>
      <c r="J570">
        <v>54990</v>
      </c>
      <c r="K570">
        <v>1</v>
      </c>
      <c r="L570">
        <v>5800</v>
      </c>
      <c r="M570" t="s">
        <v>22</v>
      </c>
      <c r="N570" t="s">
        <v>32</v>
      </c>
    </row>
    <row r="571" spans="1:14">
      <c r="A571" t="s">
        <v>712</v>
      </c>
      <c r="B571" s="1">
        <v>45202</v>
      </c>
      <c r="C571" t="s">
        <v>149</v>
      </c>
      <c r="D571" t="s">
        <v>150</v>
      </c>
      <c r="E571" t="s">
        <v>84</v>
      </c>
      <c r="F571" t="s">
        <v>85</v>
      </c>
      <c r="G571" t="s">
        <v>69</v>
      </c>
      <c r="H571" t="s">
        <v>184</v>
      </c>
      <c r="I571" t="s">
        <v>39</v>
      </c>
      <c r="J571">
        <v>1050</v>
      </c>
      <c r="K571">
        <v>2</v>
      </c>
      <c r="L571">
        <v>350</v>
      </c>
      <c r="M571" t="s">
        <v>22</v>
      </c>
      <c r="N571" t="s">
        <v>32</v>
      </c>
    </row>
    <row r="572" spans="1:14">
      <c r="A572" t="s">
        <v>713</v>
      </c>
      <c r="B572" s="1">
        <v>45279</v>
      </c>
      <c r="C572" t="s">
        <v>202</v>
      </c>
      <c r="D572" t="s">
        <v>203</v>
      </c>
      <c r="E572" t="s">
        <v>135</v>
      </c>
      <c r="F572" t="s">
        <v>136</v>
      </c>
      <c r="G572" t="s">
        <v>69</v>
      </c>
      <c r="H572" t="s">
        <v>143</v>
      </c>
      <c r="I572" t="s">
        <v>59</v>
      </c>
      <c r="J572">
        <v>7677.6</v>
      </c>
      <c r="K572">
        <v>3</v>
      </c>
      <c r="L572">
        <v>210.45</v>
      </c>
      <c r="M572" t="s">
        <v>63</v>
      </c>
      <c r="N572" t="s">
        <v>32</v>
      </c>
    </row>
    <row r="573" spans="1:14">
      <c r="A573" t="s">
        <v>714</v>
      </c>
      <c r="B573" s="1">
        <v>45151</v>
      </c>
      <c r="C573" t="s">
        <v>77</v>
      </c>
      <c r="D573" t="s">
        <v>78</v>
      </c>
      <c r="E573" t="s">
        <v>95</v>
      </c>
      <c r="F573" t="s">
        <v>96</v>
      </c>
      <c r="G573" t="s">
        <v>19</v>
      </c>
      <c r="H573" t="s">
        <v>189</v>
      </c>
      <c r="I573" t="s">
        <v>59</v>
      </c>
      <c r="J573">
        <v>1572.5</v>
      </c>
      <c r="K573">
        <v>1</v>
      </c>
      <c r="L573">
        <v>131.88</v>
      </c>
      <c r="M573" t="s">
        <v>22</v>
      </c>
      <c r="N573" t="s">
        <v>32</v>
      </c>
    </row>
    <row r="574" spans="1:14">
      <c r="A574" t="s">
        <v>715</v>
      </c>
      <c r="B574" s="1">
        <v>44954</v>
      </c>
      <c r="C574" t="s">
        <v>54</v>
      </c>
      <c r="D574" t="s">
        <v>55</v>
      </c>
      <c r="E574" t="s">
        <v>124</v>
      </c>
      <c r="F574" t="s">
        <v>125</v>
      </c>
      <c r="G574" t="s">
        <v>50</v>
      </c>
      <c r="H574" t="s">
        <v>128</v>
      </c>
      <c r="I574" t="s">
        <v>31</v>
      </c>
      <c r="J574">
        <v>1196</v>
      </c>
      <c r="K574">
        <v>1</v>
      </c>
      <c r="L574">
        <v>-179.4</v>
      </c>
      <c r="M574" t="s">
        <v>22</v>
      </c>
      <c r="N574" t="s">
        <v>75</v>
      </c>
    </row>
    <row r="575" spans="1:14">
      <c r="A575" t="s">
        <v>716</v>
      </c>
      <c r="B575" s="1">
        <v>44930</v>
      </c>
      <c r="C575" t="s">
        <v>81</v>
      </c>
      <c r="D575" t="s">
        <v>82</v>
      </c>
      <c r="E575" t="s">
        <v>135</v>
      </c>
      <c r="F575" t="s">
        <v>136</v>
      </c>
      <c r="G575" t="s">
        <v>69</v>
      </c>
      <c r="H575" t="s">
        <v>215</v>
      </c>
      <c r="I575" t="s">
        <v>59</v>
      </c>
      <c r="J575">
        <v>6499</v>
      </c>
      <c r="K575">
        <v>1</v>
      </c>
      <c r="L575">
        <v>950</v>
      </c>
      <c r="M575" t="s">
        <v>22</v>
      </c>
      <c r="N575" t="s">
        <v>32</v>
      </c>
    </row>
    <row r="576" spans="1:14">
      <c r="A576" t="s">
        <v>717</v>
      </c>
      <c r="B576" s="1">
        <v>45200</v>
      </c>
      <c r="C576" t="s">
        <v>43</v>
      </c>
      <c r="D576" t="s">
        <v>44</v>
      </c>
      <c r="E576" t="s">
        <v>49</v>
      </c>
      <c r="F576" t="s">
        <v>49</v>
      </c>
      <c r="G576" t="s">
        <v>50</v>
      </c>
      <c r="H576" t="s">
        <v>115</v>
      </c>
      <c r="I576" t="s">
        <v>93</v>
      </c>
      <c r="J576">
        <v>1139.05</v>
      </c>
      <c r="K576">
        <v>1</v>
      </c>
      <c r="L576">
        <v>245.04</v>
      </c>
      <c r="M576" t="s">
        <v>40</v>
      </c>
      <c r="N576" t="s">
        <v>41</v>
      </c>
    </row>
    <row r="577" spans="1:14">
      <c r="A577" t="s">
        <v>718</v>
      </c>
      <c r="B577" s="1">
        <v>45246</v>
      </c>
      <c r="C577" t="s">
        <v>227</v>
      </c>
      <c r="D577" t="s">
        <v>228</v>
      </c>
      <c r="E577" t="s">
        <v>56</v>
      </c>
      <c r="F577" t="s">
        <v>57</v>
      </c>
      <c r="G577" t="s">
        <v>50</v>
      </c>
      <c r="H577" t="s">
        <v>20</v>
      </c>
      <c r="I577" t="s">
        <v>21</v>
      </c>
      <c r="J577">
        <v>4796</v>
      </c>
      <c r="K577">
        <v>4</v>
      </c>
      <c r="L577">
        <v>1040</v>
      </c>
      <c r="M577" t="s">
        <v>22</v>
      </c>
      <c r="N577" t="s">
        <v>32</v>
      </c>
    </row>
    <row r="578" spans="1:14">
      <c r="A578" t="s">
        <v>719</v>
      </c>
      <c r="B578" s="1">
        <v>45254</v>
      </c>
      <c r="C578" t="s">
        <v>47</v>
      </c>
      <c r="D578" t="s">
        <v>48</v>
      </c>
      <c r="E578" t="s">
        <v>124</v>
      </c>
      <c r="F578" t="s">
        <v>125</v>
      </c>
      <c r="G578" t="s">
        <v>50</v>
      </c>
      <c r="H578" t="s">
        <v>79</v>
      </c>
      <c r="I578" t="s">
        <v>31</v>
      </c>
      <c r="J578">
        <v>71383</v>
      </c>
      <c r="K578">
        <v>2</v>
      </c>
      <c r="L578">
        <v>-447.75</v>
      </c>
      <c r="M578" t="s">
        <v>63</v>
      </c>
      <c r="N578" t="s">
        <v>130</v>
      </c>
    </row>
    <row r="579" spans="1:14">
      <c r="A579" t="s">
        <v>720</v>
      </c>
      <c r="B579" s="1">
        <v>45255</v>
      </c>
      <c r="C579" t="s">
        <v>175</v>
      </c>
      <c r="D579" t="s">
        <v>176</v>
      </c>
      <c r="E579" t="s">
        <v>67</v>
      </c>
      <c r="F579" t="s">
        <v>68</v>
      </c>
      <c r="G579" t="s">
        <v>69</v>
      </c>
      <c r="H579" t="s">
        <v>79</v>
      </c>
      <c r="I579" t="s">
        <v>31</v>
      </c>
      <c r="J579">
        <v>79781</v>
      </c>
      <c r="K579">
        <v>2</v>
      </c>
      <c r="L579">
        <v>-11967.15</v>
      </c>
      <c r="M579" t="s">
        <v>22</v>
      </c>
      <c r="N579" t="s">
        <v>75</v>
      </c>
    </row>
    <row r="580" spans="1:14">
      <c r="A580" t="s">
        <v>721</v>
      </c>
      <c r="B580" s="1">
        <v>45220</v>
      </c>
      <c r="C580" t="s">
        <v>113</v>
      </c>
      <c r="D580" t="s">
        <v>114</v>
      </c>
      <c r="E580" t="s">
        <v>27</v>
      </c>
      <c r="F580" t="s">
        <v>28</v>
      </c>
      <c r="G580" t="s">
        <v>29</v>
      </c>
      <c r="H580" t="s">
        <v>215</v>
      </c>
      <c r="I580" t="s">
        <v>59</v>
      </c>
      <c r="J580">
        <v>23396.400000000001</v>
      </c>
      <c r="K580">
        <v>4</v>
      </c>
      <c r="L580">
        <v>1850.3</v>
      </c>
      <c r="M580" t="s">
        <v>40</v>
      </c>
      <c r="N580" t="s">
        <v>32</v>
      </c>
    </row>
    <row r="581" spans="1:14">
      <c r="A581" t="s">
        <v>722</v>
      </c>
      <c r="B581" s="1">
        <v>45069</v>
      </c>
      <c r="C581" t="s">
        <v>81</v>
      </c>
      <c r="D581" t="s">
        <v>82</v>
      </c>
      <c r="E581" t="s">
        <v>84</v>
      </c>
      <c r="F581" t="s">
        <v>85</v>
      </c>
      <c r="G581" t="s">
        <v>69</v>
      </c>
      <c r="H581" t="s">
        <v>117</v>
      </c>
      <c r="I581" t="s">
        <v>93</v>
      </c>
      <c r="J581">
        <v>7816.6</v>
      </c>
      <c r="K581">
        <v>4</v>
      </c>
      <c r="L581">
        <v>-1754.55</v>
      </c>
      <c r="M581" t="s">
        <v>22</v>
      </c>
      <c r="N581" t="s">
        <v>32</v>
      </c>
    </row>
    <row r="582" spans="1:14">
      <c r="A582" t="s">
        <v>723</v>
      </c>
      <c r="B582" s="1">
        <v>45210</v>
      </c>
      <c r="C582" t="s">
        <v>220</v>
      </c>
      <c r="D582" t="s">
        <v>221</v>
      </c>
      <c r="E582" t="s">
        <v>49</v>
      </c>
      <c r="F582" t="s">
        <v>49</v>
      </c>
      <c r="G582" t="s">
        <v>50</v>
      </c>
      <c r="H582" t="s">
        <v>215</v>
      </c>
      <c r="I582" t="s">
        <v>59</v>
      </c>
      <c r="J582">
        <v>17547.3</v>
      </c>
      <c r="K582">
        <v>3</v>
      </c>
      <c r="L582">
        <v>1387.72</v>
      </c>
      <c r="M582" t="s">
        <v>63</v>
      </c>
      <c r="N582" t="s">
        <v>32</v>
      </c>
    </row>
    <row r="583" spans="1:14">
      <c r="A583" t="s">
        <v>724</v>
      </c>
      <c r="B583" s="1">
        <v>45058</v>
      </c>
      <c r="C583" t="s">
        <v>113</v>
      </c>
      <c r="D583" t="s">
        <v>114</v>
      </c>
      <c r="E583" t="s">
        <v>49</v>
      </c>
      <c r="F583" t="s">
        <v>49</v>
      </c>
      <c r="G583" t="s">
        <v>50</v>
      </c>
      <c r="H583" t="s">
        <v>143</v>
      </c>
      <c r="I583" t="s">
        <v>59</v>
      </c>
      <c r="J583">
        <v>8637.2999999999993</v>
      </c>
      <c r="K583">
        <v>3</v>
      </c>
      <c r="L583">
        <v>930.22</v>
      </c>
      <c r="M583" t="s">
        <v>40</v>
      </c>
      <c r="N583" t="s">
        <v>130</v>
      </c>
    </row>
    <row r="584" spans="1:14">
      <c r="A584" t="s">
        <v>725</v>
      </c>
      <c r="B584" s="1">
        <v>45194</v>
      </c>
      <c r="C584" t="s">
        <v>65</v>
      </c>
      <c r="D584" t="s">
        <v>66</v>
      </c>
      <c r="E584" t="s">
        <v>124</v>
      </c>
      <c r="F584" t="s">
        <v>125</v>
      </c>
      <c r="G584" t="s">
        <v>50</v>
      </c>
      <c r="H584" t="s">
        <v>58</v>
      </c>
      <c r="I584" t="s">
        <v>59</v>
      </c>
      <c r="J584">
        <v>2835</v>
      </c>
      <c r="K584">
        <v>3</v>
      </c>
      <c r="L584">
        <v>630</v>
      </c>
      <c r="M584" t="s">
        <v>22</v>
      </c>
      <c r="N584" t="s">
        <v>32</v>
      </c>
    </row>
    <row r="585" spans="1:14">
      <c r="A585" t="s">
        <v>726</v>
      </c>
      <c r="B585" s="1">
        <v>45043</v>
      </c>
      <c r="C585" t="s">
        <v>81</v>
      </c>
      <c r="D585" t="s">
        <v>82</v>
      </c>
      <c r="E585" t="s">
        <v>67</v>
      </c>
      <c r="F585" t="s">
        <v>68</v>
      </c>
      <c r="G585" t="s">
        <v>69</v>
      </c>
      <c r="H585" t="s">
        <v>184</v>
      </c>
      <c r="I585" t="s">
        <v>39</v>
      </c>
      <c r="J585">
        <v>1496.25</v>
      </c>
      <c r="K585">
        <v>3</v>
      </c>
      <c r="L585">
        <v>465.94</v>
      </c>
      <c r="M585" t="s">
        <v>90</v>
      </c>
      <c r="N585" t="s">
        <v>32</v>
      </c>
    </row>
    <row r="586" spans="1:14">
      <c r="A586" t="s">
        <v>727</v>
      </c>
      <c r="B586" s="1">
        <v>45196</v>
      </c>
      <c r="C586" t="s">
        <v>34</v>
      </c>
      <c r="D586" t="s">
        <v>35</v>
      </c>
      <c r="E586" t="s">
        <v>141</v>
      </c>
      <c r="F586" t="s">
        <v>142</v>
      </c>
      <c r="G586" t="s">
        <v>50</v>
      </c>
      <c r="H586" t="s">
        <v>99</v>
      </c>
      <c r="I586" t="s">
        <v>21</v>
      </c>
      <c r="J586">
        <v>2277.15</v>
      </c>
      <c r="K586">
        <v>3</v>
      </c>
      <c r="L586">
        <v>660.11</v>
      </c>
      <c r="M586" t="s">
        <v>22</v>
      </c>
      <c r="N586" t="s">
        <v>32</v>
      </c>
    </row>
    <row r="587" spans="1:14">
      <c r="A587" t="s">
        <v>728</v>
      </c>
      <c r="B587" s="1">
        <v>45168</v>
      </c>
      <c r="C587" t="s">
        <v>220</v>
      </c>
      <c r="D587" t="s">
        <v>221</v>
      </c>
      <c r="E587" t="s">
        <v>49</v>
      </c>
      <c r="F587" t="s">
        <v>49</v>
      </c>
      <c r="G587" t="s">
        <v>50</v>
      </c>
      <c r="H587" t="s">
        <v>261</v>
      </c>
      <c r="I587" t="s">
        <v>21</v>
      </c>
      <c r="J587">
        <v>70396.800000000003</v>
      </c>
      <c r="K587">
        <v>4</v>
      </c>
      <c r="L587">
        <v>-3599.4</v>
      </c>
      <c r="M587" t="s">
        <v>40</v>
      </c>
      <c r="N587" t="s">
        <v>32</v>
      </c>
    </row>
    <row r="588" spans="1:14">
      <c r="A588" t="s">
        <v>729</v>
      </c>
      <c r="B588" s="1">
        <v>45046</v>
      </c>
      <c r="C588" t="s">
        <v>61</v>
      </c>
      <c r="D588" t="s">
        <v>62</v>
      </c>
      <c r="E588" t="s">
        <v>56</v>
      </c>
      <c r="F588" t="s">
        <v>57</v>
      </c>
      <c r="G588" t="s">
        <v>50</v>
      </c>
      <c r="H588" t="s">
        <v>261</v>
      </c>
      <c r="I588" t="s">
        <v>21</v>
      </c>
      <c r="J588">
        <v>56097.45</v>
      </c>
      <c r="K588">
        <v>3</v>
      </c>
      <c r="L588">
        <v>-224.66</v>
      </c>
      <c r="M588" t="s">
        <v>63</v>
      </c>
      <c r="N588" t="s">
        <v>32</v>
      </c>
    </row>
    <row r="589" spans="1:14">
      <c r="A589" t="s">
        <v>730</v>
      </c>
      <c r="B589" s="1">
        <v>45053</v>
      </c>
      <c r="C589" t="s">
        <v>15</v>
      </c>
      <c r="D589" t="s">
        <v>16</v>
      </c>
      <c r="E589" t="s">
        <v>103</v>
      </c>
      <c r="F589" t="s">
        <v>104</v>
      </c>
      <c r="G589" t="s">
        <v>19</v>
      </c>
      <c r="H589" t="s">
        <v>45</v>
      </c>
      <c r="I589" t="s">
        <v>21</v>
      </c>
      <c r="J589">
        <v>2468.1</v>
      </c>
      <c r="K589">
        <v>2</v>
      </c>
      <c r="L589">
        <v>542.58000000000004</v>
      </c>
      <c r="M589" t="s">
        <v>22</v>
      </c>
      <c r="N589" t="s">
        <v>32</v>
      </c>
    </row>
    <row r="590" spans="1:14">
      <c r="A590" t="s">
        <v>731</v>
      </c>
      <c r="B590" s="1">
        <v>45078</v>
      </c>
      <c r="C590" t="s">
        <v>113</v>
      </c>
      <c r="D590" t="s">
        <v>114</v>
      </c>
      <c r="E590" t="s">
        <v>27</v>
      </c>
      <c r="F590" t="s">
        <v>28</v>
      </c>
      <c r="G590" t="s">
        <v>29</v>
      </c>
      <c r="H590" t="s">
        <v>164</v>
      </c>
      <c r="I590" t="s">
        <v>39</v>
      </c>
      <c r="J590">
        <v>2998</v>
      </c>
      <c r="K590">
        <v>2</v>
      </c>
      <c r="L590">
        <v>720</v>
      </c>
      <c r="M590" t="s">
        <v>22</v>
      </c>
      <c r="N590" t="s">
        <v>32</v>
      </c>
    </row>
    <row r="591" spans="1:14">
      <c r="A591" t="s">
        <v>732</v>
      </c>
      <c r="B591" s="1">
        <v>45055</v>
      </c>
      <c r="C591" t="s">
        <v>132</v>
      </c>
      <c r="D591" t="s">
        <v>133</v>
      </c>
      <c r="E591" t="s">
        <v>98</v>
      </c>
      <c r="F591" t="s">
        <v>68</v>
      </c>
      <c r="G591" t="s">
        <v>69</v>
      </c>
      <c r="H591" t="s">
        <v>79</v>
      </c>
      <c r="I591" t="s">
        <v>31</v>
      </c>
      <c r="J591">
        <v>37791</v>
      </c>
      <c r="K591">
        <v>1</v>
      </c>
      <c r="L591">
        <v>1350.75</v>
      </c>
      <c r="M591" t="s">
        <v>40</v>
      </c>
      <c r="N591" t="s">
        <v>32</v>
      </c>
    </row>
    <row r="592" spans="1:14">
      <c r="A592" t="s">
        <v>733</v>
      </c>
      <c r="B592" s="1">
        <v>44999</v>
      </c>
      <c r="C592" t="s">
        <v>113</v>
      </c>
      <c r="D592" t="s">
        <v>114</v>
      </c>
      <c r="E592" t="s">
        <v>87</v>
      </c>
      <c r="F592" t="s">
        <v>88</v>
      </c>
      <c r="G592" t="s">
        <v>29</v>
      </c>
      <c r="H592" t="s">
        <v>126</v>
      </c>
      <c r="I592" t="s">
        <v>21</v>
      </c>
      <c r="J592">
        <v>35999.1</v>
      </c>
      <c r="K592">
        <v>1</v>
      </c>
      <c r="L592">
        <v>1800.07</v>
      </c>
      <c r="M592" t="s">
        <v>22</v>
      </c>
      <c r="N592" t="s">
        <v>32</v>
      </c>
    </row>
    <row r="593" spans="1:14">
      <c r="A593" t="s">
        <v>734</v>
      </c>
      <c r="B593" s="1">
        <v>45036</v>
      </c>
      <c r="C593" t="s">
        <v>34</v>
      </c>
      <c r="D593" t="s">
        <v>35</v>
      </c>
      <c r="E593" t="s">
        <v>67</v>
      </c>
      <c r="F593" t="s">
        <v>68</v>
      </c>
      <c r="G593" t="s">
        <v>69</v>
      </c>
      <c r="H593" t="s">
        <v>177</v>
      </c>
      <c r="I593" t="s">
        <v>93</v>
      </c>
      <c r="J593">
        <v>5996</v>
      </c>
      <c r="K593">
        <v>4</v>
      </c>
      <c r="L593">
        <v>1520</v>
      </c>
      <c r="M593" t="s">
        <v>63</v>
      </c>
      <c r="N593" t="s">
        <v>32</v>
      </c>
    </row>
    <row r="594" spans="1:14">
      <c r="A594" t="s">
        <v>735</v>
      </c>
      <c r="B594" s="1">
        <v>44997</v>
      </c>
      <c r="C594" t="s">
        <v>72</v>
      </c>
      <c r="D594" t="s">
        <v>73</v>
      </c>
      <c r="E594" t="s">
        <v>95</v>
      </c>
      <c r="F594" t="s">
        <v>96</v>
      </c>
      <c r="G594" t="s">
        <v>19</v>
      </c>
      <c r="H594" t="s">
        <v>89</v>
      </c>
      <c r="I594" t="s">
        <v>21</v>
      </c>
      <c r="J594">
        <v>1529.15</v>
      </c>
      <c r="K594">
        <v>1</v>
      </c>
      <c r="L594">
        <v>177.61</v>
      </c>
      <c r="M594" t="s">
        <v>40</v>
      </c>
      <c r="N594" t="s">
        <v>32</v>
      </c>
    </row>
    <row r="595" spans="1:14">
      <c r="A595" t="s">
        <v>736</v>
      </c>
      <c r="B595" s="1">
        <v>45194</v>
      </c>
      <c r="C595" t="s">
        <v>65</v>
      </c>
      <c r="D595" t="s">
        <v>66</v>
      </c>
      <c r="E595" t="s">
        <v>95</v>
      </c>
      <c r="F595" t="s">
        <v>96</v>
      </c>
      <c r="G595" t="s">
        <v>19</v>
      </c>
      <c r="H595" t="s">
        <v>177</v>
      </c>
      <c r="I595" t="s">
        <v>93</v>
      </c>
      <c r="J595">
        <v>5096.6000000000004</v>
      </c>
      <c r="K595">
        <v>4</v>
      </c>
      <c r="L595">
        <v>845.45</v>
      </c>
      <c r="M595" t="s">
        <v>22</v>
      </c>
      <c r="N595" t="s">
        <v>32</v>
      </c>
    </row>
    <row r="596" spans="1:14">
      <c r="A596" t="s">
        <v>737</v>
      </c>
      <c r="B596" s="1">
        <v>45000</v>
      </c>
      <c r="C596" t="s">
        <v>220</v>
      </c>
      <c r="D596" t="s">
        <v>221</v>
      </c>
      <c r="E596" t="s">
        <v>95</v>
      </c>
      <c r="F596" t="s">
        <v>96</v>
      </c>
      <c r="G596" t="s">
        <v>19</v>
      </c>
      <c r="H596" t="s">
        <v>164</v>
      </c>
      <c r="I596" t="s">
        <v>39</v>
      </c>
      <c r="J596">
        <v>3597.6</v>
      </c>
      <c r="K596">
        <v>3</v>
      </c>
      <c r="L596">
        <v>405.45</v>
      </c>
      <c r="M596" t="s">
        <v>40</v>
      </c>
      <c r="N596" t="s">
        <v>32</v>
      </c>
    </row>
    <row r="597" spans="1:14">
      <c r="A597" t="s">
        <v>738</v>
      </c>
      <c r="B597" s="1">
        <v>44982</v>
      </c>
      <c r="C597" t="s">
        <v>101</v>
      </c>
      <c r="D597" t="s">
        <v>102</v>
      </c>
      <c r="E597" t="s">
        <v>17</v>
      </c>
      <c r="F597" t="s">
        <v>18</v>
      </c>
      <c r="G597" t="s">
        <v>19</v>
      </c>
      <c r="H597" t="s">
        <v>45</v>
      </c>
      <c r="I597" t="s">
        <v>21</v>
      </c>
      <c r="J597">
        <v>3897</v>
      </c>
      <c r="K597">
        <v>3</v>
      </c>
      <c r="L597">
        <v>960</v>
      </c>
      <c r="M597" t="s">
        <v>22</v>
      </c>
      <c r="N597" t="s">
        <v>32</v>
      </c>
    </row>
    <row r="598" spans="1:14">
      <c r="A598" t="s">
        <v>739</v>
      </c>
      <c r="B598" s="1">
        <v>45032</v>
      </c>
      <c r="C598" t="s">
        <v>34</v>
      </c>
      <c r="D598" t="s">
        <v>35</v>
      </c>
      <c r="E598" t="s">
        <v>36</v>
      </c>
      <c r="F598" t="s">
        <v>37</v>
      </c>
      <c r="G598" t="s">
        <v>19</v>
      </c>
      <c r="H598" t="s">
        <v>147</v>
      </c>
      <c r="I598" t="s">
        <v>93</v>
      </c>
      <c r="J598">
        <v>5097.45</v>
      </c>
      <c r="K598">
        <v>3</v>
      </c>
      <c r="L598">
        <v>885.34</v>
      </c>
      <c r="M598" t="s">
        <v>63</v>
      </c>
      <c r="N598" t="s">
        <v>32</v>
      </c>
    </row>
    <row r="599" spans="1:14">
      <c r="A599" t="s">
        <v>740</v>
      </c>
      <c r="B599" s="1">
        <v>45084</v>
      </c>
      <c r="C599" t="s">
        <v>81</v>
      </c>
      <c r="D599" t="s">
        <v>82</v>
      </c>
      <c r="E599" t="s">
        <v>124</v>
      </c>
      <c r="F599" t="s">
        <v>125</v>
      </c>
      <c r="G599" t="s">
        <v>50</v>
      </c>
      <c r="H599" t="s">
        <v>143</v>
      </c>
      <c r="I599" t="s">
        <v>59</v>
      </c>
      <c r="J599">
        <v>12796</v>
      </c>
      <c r="K599">
        <v>4</v>
      </c>
      <c r="L599">
        <v>2200</v>
      </c>
      <c r="M599" t="s">
        <v>22</v>
      </c>
      <c r="N599" t="s">
        <v>32</v>
      </c>
    </row>
    <row r="600" spans="1:14">
      <c r="A600" t="s">
        <v>741</v>
      </c>
      <c r="B600" s="1">
        <v>45055</v>
      </c>
      <c r="C600" t="s">
        <v>227</v>
      </c>
      <c r="D600" t="s">
        <v>228</v>
      </c>
      <c r="E600" t="s">
        <v>49</v>
      </c>
      <c r="F600" t="s">
        <v>49</v>
      </c>
      <c r="G600" t="s">
        <v>50</v>
      </c>
      <c r="H600" t="s">
        <v>51</v>
      </c>
      <c r="I600" t="s">
        <v>31</v>
      </c>
      <c r="J600">
        <v>8549.0499999999993</v>
      </c>
      <c r="K600">
        <v>1</v>
      </c>
      <c r="L600">
        <v>862.54</v>
      </c>
      <c r="M600" t="s">
        <v>90</v>
      </c>
      <c r="N600" t="s">
        <v>32</v>
      </c>
    </row>
    <row r="601" spans="1:14">
      <c r="A601" t="s">
        <v>742</v>
      </c>
      <c r="B601" s="1">
        <v>45132</v>
      </c>
      <c r="C601" t="s">
        <v>220</v>
      </c>
      <c r="D601" t="s">
        <v>221</v>
      </c>
      <c r="E601" t="s">
        <v>95</v>
      </c>
      <c r="F601" t="s">
        <v>96</v>
      </c>
      <c r="G601" t="s">
        <v>19</v>
      </c>
      <c r="H601" t="s">
        <v>154</v>
      </c>
      <c r="I601" t="s">
        <v>93</v>
      </c>
      <c r="J601">
        <v>1295</v>
      </c>
      <c r="K601">
        <v>1</v>
      </c>
      <c r="L601">
        <v>310</v>
      </c>
      <c r="M601" t="s">
        <v>90</v>
      </c>
      <c r="N601" t="s">
        <v>32</v>
      </c>
    </row>
    <row r="602" spans="1:14">
      <c r="A602" t="s">
        <v>743</v>
      </c>
      <c r="B602" s="1">
        <v>44928</v>
      </c>
      <c r="C602" t="s">
        <v>149</v>
      </c>
      <c r="D602" t="s">
        <v>150</v>
      </c>
      <c r="E602" t="s">
        <v>103</v>
      </c>
      <c r="F602" t="s">
        <v>104</v>
      </c>
      <c r="G602" t="s">
        <v>19</v>
      </c>
      <c r="H602" t="s">
        <v>206</v>
      </c>
      <c r="I602" t="s">
        <v>21</v>
      </c>
      <c r="J602">
        <v>64999</v>
      </c>
      <c r="K602">
        <v>1</v>
      </c>
      <c r="L602">
        <v>7200</v>
      </c>
      <c r="M602" t="s">
        <v>22</v>
      </c>
      <c r="N602" t="s">
        <v>32</v>
      </c>
    </row>
    <row r="603" spans="1:14">
      <c r="A603" t="s">
        <v>744</v>
      </c>
      <c r="B603" s="1">
        <v>45228</v>
      </c>
      <c r="C603" t="s">
        <v>61</v>
      </c>
      <c r="D603" t="s">
        <v>62</v>
      </c>
      <c r="E603" t="s">
        <v>67</v>
      </c>
      <c r="F603" t="s">
        <v>68</v>
      </c>
      <c r="G603" t="s">
        <v>69</v>
      </c>
      <c r="H603" t="s">
        <v>79</v>
      </c>
      <c r="I603" t="s">
        <v>31</v>
      </c>
      <c r="J603">
        <v>125970</v>
      </c>
      <c r="K603">
        <v>3</v>
      </c>
      <c r="L603">
        <v>13500</v>
      </c>
      <c r="M603" t="s">
        <v>22</v>
      </c>
      <c r="N603" t="s">
        <v>32</v>
      </c>
    </row>
    <row r="604" spans="1:14">
      <c r="A604" t="s">
        <v>745</v>
      </c>
      <c r="B604" s="1">
        <v>44990</v>
      </c>
      <c r="C604" t="s">
        <v>15</v>
      </c>
      <c r="D604" t="s">
        <v>16</v>
      </c>
      <c r="E604" t="s">
        <v>36</v>
      </c>
      <c r="F604" t="s">
        <v>37</v>
      </c>
      <c r="G604" t="s">
        <v>19</v>
      </c>
      <c r="H604" t="s">
        <v>261</v>
      </c>
      <c r="I604" t="s">
        <v>21</v>
      </c>
      <c r="J604">
        <v>17599.2</v>
      </c>
      <c r="K604">
        <v>1</v>
      </c>
      <c r="L604">
        <v>-899.85</v>
      </c>
      <c r="M604" t="s">
        <v>40</v>
      </c>
      <c r="N604" t="s">
        <v>32</v>
      </c>
    </row>
    <row r="605" spans="1:14">
      <c r="A605" t="s">
        <v>746</v>
      </c>
      <c r="B605" s="1">
        <v>44970</v>
      </c>
      <c r="C605" t="s">
        <v>101</v>
      </c>
      <c r="D605" t="s">
        <v>102</v>
      </c>
      <c r="E605" t="s">
        <v>135</v>
      </c>
      <c r="F605" t="s">
        <v>136</v>
      </c>
      <c r="G605" t="s">
        <v>69</v>
      </c>
      <c r="H605" t="s">
        <v>206</v>
      </c>
      <c r="I605" t="s">
        <v>21</v>
      </c>
      <c r="J605">
        <v>110498.3</v>
      </c>
      <c r="K605">
        <v>2</v>
      </c>
      <c r="L605">
        <v>-224.78</v>
      </c>
      <c r="M605" t="s">
        <v>63</v>
      </c>
      <c r="N605" t="s">
        <v>32</v>
      </c>
    </row>
    <row r="606" spans="1:14">
      <c r="A606" t="s">
        <v>747</v>
      </c>
      <c r="B606" s="1">
        <v>45225</v>
      </c>
      <c r="C606" t="s">
        <v>34</v>
      </c>
      <c r="D606" t="s">
        <v>35</v>
      </c>
      <c r="E606" t="s">
        <v>84</v>
      </c>
      <c r="F606" t="s">
        <v>85</v>
      </c>
      <c r="G606" t="s">
        <v>69</v>
      </c>
      <c r="H606" t="s">
        <v>79</v>
      </c>
      <c r="I606" t="s">
        <v>31</v>
      </c>
      <c r="J606">
        <v>41990</v>
      </c>
      <c r="K606">
        <v>1</v>
      </c>
      <c r="L606">
        <v>4500</v>
      </c>
      <c r="M606" t="s">
        <v>22</v>
      </c>
      <c r="N606" t="s">
        <v>32</v>
      </c>
    </row>
    <row r="607" spans="1:14">
      <c r="A607" t="s">
        <v>748</v>
      </c>
      <c r="B607" s="1">
        <v>45126</v>
      </c>
      <c r="C607" t="s">
        <v>113</v>
      </c>
      <c r="D607" t="s">
        <v>114</v>
      </c>
      <c r="E607" t="s">
        <v>17</v>
      </c>
      <c r="F607" t="s">
        <v>18</v>
      </c>
      <c r="G607" t="s">
        <v>19</v>
      </c>
      <c r="H607" t="s">
        <v>51</v>
      </c>
      <c r="I607" t="s">
        <v>31</v>
      </c>
      <c r="J607">
        <v>17098.099999999999</v>
      </c>
      <c r="K607">
        <v>2</v>
      </c>
      <c r="L607">
        <v>1725.07</v>
      </c>
      <c r="M607" t="s">
        <v>22</v>
      </c>
      <c r="N607" t="s">
        <v>32</v>
      </c>
    </row>
    <row r="608" spans="1:14">
      <c r="A608" t="s">
        <v>749</v>
      </c>
      <c r="B608" s="1">
        <v>45182</v>
      </c>
      <c r="C608" t="s">
        <v>113</v>
      </c>
      <c r="D608" t="s">
        <v>114</v>
      </c>
      <c r="E608" t="s">
        <v>27</v>
      </c>
      <c r="F608" t="s">
        <v>28</v>
      </c>
      <c r="G608" t="s">
        <v>29</v>
      </c>
      <c r="H608" t="s">
        <v>70</v>
      </c>
      <c r="I608" t="s">
        <v>39</v>
      </c>
      <c r="J608">
        <v>2106</v>
      </c>
      <c r="K608">
        <v>3</v>
      </c>
      <c r="L608">
        <v>544.5</v>
      </c>
      <c r="M608" t="s">
        <v>40</v>
      </c>
      <c r="N608" t="s">
        <v>130</v>
      </c>
    </row>
    <row r="609" spans="1:14">
      <c r="A609" t="s">
        <v>750</v>
      </c>
      <c r="B609" s="1">
        <v>45130</v>
      </c>
      <c r="C609" t="s">
        <v>61</v>
      </c>
      <c r="D609" t="s">
        <v>62</v>
      </c>
      <c r="E609" t="s">
        <v>157</v>
      </c>
      <c r="F609" t="s">
        <v>158</v>
      </c>
      <c r="G609" t="s">
        <v>29</v>
      </c>
      <c r="H609" t="s">
        <v>74</v>
      </c>
      <c r="I609" t="s">
        <v>31</v>
      </c>
      <c r="J609">
        <v>111121.5</v>
      </c>
      <c r="K609">
        <v>3</v>
      </c>
      <c r="L609">
        <v>7913.62</v>
      </c>
      <c r="M609" t="s">
        <v>90</v>
      </c>
      <c r="N609" t="s">
        <v>32</v>
      </c>
    </row>
    <row r="610" spans="1:14">
      <c r="A610" t="s">
        <v>751</v>
      </c>
      <c r="B610" s="1">
        <v>44936</v>
      </c>
      <c r="C610" t="s">
        <v>34</v>
      </c>
      <c r="D610" t="s">
        <v>35</v>
      </c>
      <c r="E610" t="s">
        <v>36</v>
      </c>
      <c r="F610" t="s">
        <v>37</v>
      </c>
      <c r="G610" t="s">
        <v>19</v>
      </c>
      <c r="H610" t="s">
        <v>177</v>
      </c>
      <c r="I610" t="s">
        <v>93</v>
      </c>
      <c r="J610">
        <v>2848.1</v>
      </c>
      <c r="K610">
        <v>2</v>
      </c>
      <c r="L610">
        <v>647.58000000000004</v>
      </c>
      <c r="M610" t="s">
        <v>90</v>
      </c>
      <c r="N610" t="s">
        <v>32</v>
      </c>
    </row>
    <row r="611" spans="1:14">
      <c r="A611" t="s">
        <v>752</v>
      </c>
      <c r="B611" s="1">
        <v>45277</v>
      </c>
      <c r="C611" t="s">
        <v>81</v>
      </c>
      <c r="D611" t="s">
        <v>82</v>
      </c>
      <c r="E611" t="s">
        <v>36</v>
      </c>
      <c r="F611" t="s">
        <v>37</v>
      </c>
      <c r="G611" t="s">
        <v>19</v>
      </c>
      <c r="H611" t="s">
        <v>184</v>
      </c>
      <c r="I611" t="s">
        <v>39</v>
      </c>
      <c r="J611">
        <v>420</v>
      </c>
      <c r="K611">
        <v>1</v>
      </c>
      <c r="L611">
        <v>96.25</v>
      </c>
      <c r="M611" t="s">
        <v>90</v>
      </c>
      <c r="N611" t="s">
        <v>32</v>
      </c>
    </row>
    <row r="612" spans="1:14">
      <c r="A612" t="s">
        <v>753</v>
      </c>
      <c r="B612" s="1">
        <v>45238</v>
      </c>
      <c r="C612" t="s">
        <v>77</v>
      </c>
      <c r="D612" t="s">
        <v>78</v>
      </c>
      <c r="E612" t="s">
        <v>103</v>
      </c>
      <c r="F612" t="s">
        <v>104</v>
      </c>
      <c r="G612" t="s">
        <v>19</v>
      </c>
      <c r="H612" t="s">
        <v>51</v>
      </c>
      <c r="I612" t="s">
        <v>31</v>
      </c>
      <c r="J612">
        <v>28796.799999999999</v>
      </c>
      <c r="K612">
        <v>4</v>
      </c>
      <c r="L612">
        <v>-599.4</v>
      </c>
      <c r="M612" t="s">
        <v>22</v>
      </c>
      <c r="N612" t="s">
        <v>32</v>
      </c>
    </row>
    <row r="613" spans="1:14">
      <c r="A613" t="s">
        <v>754</v>
      </c>
      <c r="B613" s="1">
        <v>45220</v>
      </c>
      <c r="C613" t="s">
        <v>160</v>
      </c>
      <c r="D613" t="s">
        <v>161</v>
      </c>
      <c r="E613" t="s">
        <v>49</v>
      </c>
      <c r="F613" t="s">
        <v>49</v>
      </c>
      <c r="G613" t="s">
        <v>50</v>
      </c>
      <c r="H613" t="s">
        <v>74</v>
      </c>
      <c r="I613" t="s">
        <v>31</v>
      </c>
      <c r="J613">
        <v>93576</v>
      </c>
      <c r="K613">
        <v>3</v>
      </c>
      <c r="L613">
        <v>-5245.5</v>
      </c>
      <c r="M613" t="s">
        <v>63</v>
      </c>
      <c r="N613" t="s">
        <v>32</v>
      </c>
    </row>
    <row r="614" spans="1:14">
      <c r="A614" t="s">
        <v>755</v>
      </c>
      <c r="B614" s="1">
        <v>45080</v>
      </c>
      <c r="C614" t="s">
        <v>175</v>
      </c>
      <c r="D614" t="s">
        <v>176</v>
      </c>
      <c r="E614" t="s">
        <v>135</v>
      </c>
      <c r="F614" t="s">
        <v>136</v>
      </c>
      <c r="G614" t="s">
        <v>69</v>
      </c>
      <c r="H614" t="s">
        <v>51</v>
      </c>
      <c r="I614" t="s">
        <v>31</v>
      </c>
      <c r="J614">
        <v>24297.3</v>
      </c>
      <c r="K614">
        <v>3</v>
      </c>
      <c r="L614">
        <v>0</v>
      </c>
      <c r="M614" t="s">
        <v>22</v>
      </c>
      <c r="N614" t="s">
        <v>23</v>
      </c>
    </row>
    <row r="615" spans="1:14">
      <c r="A615" t="s">
        <v>756</v>
      </c>
      <c r="B615" s="1">
        <v>44940</v>
      </c>
      <c r="C615" t="s">
        <v>170</v>
      </c>
      <c r="D615" t="s">
        <v>171</v>
      </c>
      <c r="E615" t="s">
        <v>49</v>
      </c>
      <c r="F615" t="s">
        <v>49</v>
      </c>
      <c r="G615" t="s">
        <v>50</v>
      </c>
      <c r="H615" t="s">
        <v>20</v>
      </c>
      <c r="I615" t="s">
        <v>21</v>
      </c>
      <c r="J615">
        <v>1199</v>
      </c>
      <c r="K615">
        <v>1</v>
      </c>
      <c r="L615">
        <v>260</v>
      </c>
      <c r="M615" t="s">
        <v>52</v>
      </c>
      <c r="N615" t="s">
        <v>32</v>
      </c>
    </row>
    <row r="616" spans="1:14">
      <c r="A616" t="s">
        <v>757</v>
      </c>
      <c r="B616" s="1">
        <v>45104</v>
      </c>
      <c r="C616" t="s">
        <v>25</v>
      </c>
      <c r="D616" t="s">
        <v>26</v>
      </c>
      <c r="E616" t="s">
        <v>84</v>
      </c>
      <c r="F616" t="s">
        <v>85</v>
      </c>
      <c r="G616" t="s">
        <v>69</v>
      </c>
      <c r="H616" t="s">
        <v>147</v>
      </c>
      <c r="I616" t="s">
        <v>93</v>
      </c>
      <c r="J616">
        <v>7196.4</v>
      </c>
      <c r="K616">
        <v>4</v>
      </c>
      <c r="L616">
        <v>1480.3</v>
      </c>
      <c r="M616" t="s">
        <v>90</v>
      </c>
      <c r="N616" t="s">
        <v>32</v>
      </c>
    </row>
    <row r="617" spans="1:14">
      <c r="A617" t="s">
        <v>758</v>
      </c>
      <c r="B617" s="1">
        <v>44981</v>
      </c>
      <c r="C617" t="s">
        <v>54</v>
      </c>
      <c r="D617" t="s">
        <v>55</v>
      </c>
      <c r="E617" t="s">
        <v>95</v>
      </c>
      <c r="F617" t="s">
        <v>96</v>
      </c>
      <c r="G617" t="s">
        <v>19</v>
      </c>
      <c r="H617" t="s">
        <v>92</v>
      </c>
      <c r="I617" t="s">
        <v>93</v>
      </c>
      <c r="J617">
        <v>9996</v>
      </c>
      <c r="K617">
        <v>4</v>
      </c>
      <c r="L617">
        <v>2600</v>
      </c>
      <c r="M617" t="s">
        <v>63</v>
      </c>
      <c r="N617" t="s">
        <v>32</v>
      </c>
    </row>
    <row r="618" spans="1:14">
      <c r="A618" t="s">
        <v>759</v>
      </c>
      <c r="B618" s="1">
        <v>45263</v>
      </c>
      <c r="C618" t="s">
        <v>47</v>
      </c>
      <c r="D618" t="s">
        <v>48</v>
      </c>
      <c r="E618" t="s">
        <v>98</v>
      </c>
      <c r="F618" t="s">
        <v>68</v>
      </c>
      <c r="G618" t="s">
        <v>69</v>
      </c>
      <c r="H618" t="s">
        <v>111</v>
      </c>
      <c r="I618" t="s">
        <v>59</v>
      </c>
      <c r="J618">
        <v>809.1</v>
      </c>
      <c r="K618">
        <v>1</v>
      </c>
      <c r="L618">
        <v>-187.43</v>
      </c>
      <c r="M618" t="s">
        <v>63</v>
      </c>
      <c r="N618" t="s">
        <v>32</v>
      </c>
    </row>
    <row r="619" spans="1:14">
      <c r="A619" t="s">
        <v>760</v>
      </c>
      <c r="B619" s="1">
        <v>45173</v>
      </c>
      <c r="C619" t="s">
        <v>34</v>
      </c>
      <c r="D619" t="s">
        <v>35</v>
      </c>
      <c r="E619" t="s">
        <v>98</v>
      </c>
      <c r="F619" t="s">
        <v>68</v>
      </c>
      <c r="G619" t="s">
        <v>69</v>
      </c>
      <c r="H619" t="s">
        <v>206</v>
      </c>
      <c r="I619" t="s">
        <v>21</v>
      </c>
      <c r="J619">
        <v>165747.45000000001</v>
      </c>
      <c r="K619">
        <v>3</v>
      </c>
      <c r="L619">
        <v>-337.16</v>
      </c>
      <c r="M619" t="s">
        <v>22</v>
      </c>
      <c r="N619" t="s">
        <v>32</v>
      </c>
    </row>
    <row r="620" spans="1:14">
      <c r="A620" t="s">
        <v>761</v>
      </c>
      <c r="B620" s="1">
        <v>44999</v>
      </c>
      <c r="C620" t="s">
        <v>122</v>
      </c>
      <c r="D620" t="s">
        <v>123</v>
      </c>
      <c r="E620" t="s">
        <v>49</v>
      </c>
      <c r="F620" t="s">
        <v>49</v>
      </c>
      <c r="G620" t="s">
        <v>50</v>
      </c>
      <c r="H620" t="s">
        <v>143</v>
      </c>
      <c r="I620" t="s">
        <v>59</v>
      </c>
      <c r="J620">
        <v>6398</v>
      </c>
      <c r="K620">
        <v>2</v>
      </c>
      <c r="L620">
        <v>1100</v>
      </c>
      <c r="M620" t="s">
        <v>22</v>
      </c>
      <c r="N620" t="s">
        <v>32</v>
      </c>
    </row>
    <row r="621" spans="1:14">
      <c r="A621" t="s">
        <v>762</v>
      </c>
      <c r="B621" s="1">
        <v>45261</v>
      </c>
      <c r="C621" t="s">
        <v>54</v>
      </c>
      <c r="D621" t="s">
        <v>55</v>
      </c>
      <c r="E621" t="s">
        <v>84</v>
      </c>
      <c r="F621" t="s">
        <v>85</v>
      </c>
      <c r="G621" t="s">
        <v>69</v>
      </c>
      <c r="H621" t="s">
        <v>99</v>
      </c>
      <c r="I621" t="s">
        <v>21</v>
      </c>
      <c r="J621">
        <v>719.1</v>
      </c>
      <c r="K621">
        <v>1</v>
      </c>
      <c r="L621">
        <v>-107.86</v>
      </c>
      <c r="M621" t="s">
        <v>22</v>
      </c>
      <c r="N621" t="s">
        <v>75</v>
      </c>
    </row>
    <row r="622" spans="1:14">
      <c r="A622" t="s">
        <v>763</v>
      </c>
      <c r="B622" s="1">
        <v>45231</v>
      </c>
      <c r="C622" t="s">
        <v>81</v>
      </c>
      <c r="D622" t="s">
        <v>82</v>
      </c>
      <c r="E622" t="s">
        <v>103</v>
      </c>
      <c r="F622" t="s">
        <v>104</v>
      </c>
      <c r="G622" t="s">
        <v>19</v>
      </c>
      <c r="H622" t="s">
        <v>117</v>
      </c>
      <c r="I622" t="s">
        <v>93</v>
      </c>
      <c r="J622">
        <v>6897</v>
      </c>
      <c r="K622">
        <v>3</v>
      </c>
      <c r="L622">
        <v>-540</v>
      </c>
      <c r="M622" t="s">
        <v>40</v>
      </c>
      <c r="N622" t="s">
        <v>32</v>
      </c>
    </row>
    <row r="623" spans="1:14">
      <c r="A623" t="s">
        <v>764</v>
      </c>
      <c r="B623" s="1">
        <v>45057</v>
      </c>
      <c r="C623" t="s">
        <v>15</v>
      </c>
      <c r="D623" t="s">
        <v>16</v>
      </c>
      <c r="E623" t="s">
        <v>17</v>
      </c>
      <c r="F623" t="s">
        <v>18</v>
      </c>
      <c r="G623" t="s">
        <v>19</v>
      </c>
      <c r="H623" t="s">
        <v>117</v>
      </c>
      <c r="I623" t="s">
        <v>93</v>
      </c>
      <c r="J623">
        <v>5862.45</v>
      </c>
      <c r="K623">
        <v>3</v>
      </c>
      <c r="L623">
        <v>-1315.91</v>
      </c>
      <c r="M623" t="s">
        <v>22</v>
      </c>
      <c r="N623" t="s">
        <v>32</v>
      </c>
    </row>
    <row r="624" spans="1:14">
      <c r="A624" t="s">
        <v>765</v>
      </c>
      <c r="B624" s="1">
        <v>45222</v>
      </c>
      <c r="C624" t="s">
        <v>160</v>
      </c>
      <c r="D624" t="s">
        <v>161</v>
      </c>
      <c r="E624" t="s">
        <v>135</v>
      </c>
      <c r="F624" t="s">
        <v>136</v>
      </c>
      <c r="G624" t="s">
        <v>69</v>
      </c>
      <c r="H624" t="s">
        <v>126</v>
      </c>
      <c r="I624" t="s">
        <v>21</v>
      </c>
      <c r="J624">
        <v>113997.15</v>
      </c>
      <c r="K624">
        <v>3</v>
      </c>
      <c r="L624">
        <v>9900.11</v>
      </c>
      <c r="M624" t="s">
        <v>90</v>
      </c>
      <c r="N624" t="s">
        <v>32</v>
      </c>
    </row>
    <row r="625" spans="1:14">
      <c r="A625" t="s">
        <v>766</v>
      </c>
      <c r="B625" s="1">
        <v>45091</v>
      </c>
      <c r="C625" t="s">
        <v>160</v>
      </c>
      <c r="D625" t="s">
        <v>161</v>
      </c>
      <c r="E625" t="s">
        <v>49</v>
      </c>
      <c r="F625" t="s">
        <v>49</v>
      </c>
      <c r="G625" t="s">
        <v>50</v>
      </c>
      <c r="H625" t="s">
        <v>51</v>
      </c>
      <c r="I625" t="s">
        <v>31</v>
      </c>
      <c r="J625">
        <v>34196.199999999997</v>
      </c>
      <c r="K625">
        <v>4</v>
      </c>
      <c r="L625">
        <v>3450.15</v>
      </c>
      <c r="M625" t="s">
        <v>52</v>
      </c>
      <c r="N625" t="s">
        <v>32</v>
      </c>
    </row>
    <row r="626" spans="1:14">
      <c r="A626" t="s">
        <v>767</v>
      </c>
      <c r="B626" s="1">
        <v>44959</v>
      </c>
      <c r="C626" t="s">
        <v>227</v>
      </c>
      <c r="D626" t="s">
        <v>228</v>
      </c>
      <c r="E626" t="s">
        <v>36</v>
      </c>
      <c r="F626" t="s">
        <v>37</v>
      </c>
      <c r="G626" t="s">
        <v>19</v>
      </c>
      <c r="H626" t="s">
        <v>70</v>
      </c>
      <c r="I626" t="s">
        <v>39</v>
      </c>
      <c r="J626">
        <v>1989</v>
      </c>
      <c r="K626">
        <v>3</v>
      </c>
      <c r="L626">
        <v>456.75</v>
      </c>
      <c r="M626" t="s">
        <v>22</v>
      </c>
      <c r="N626" t="s">
        <v>32</v>
      </c>
    </row>
    <row r="627" spans="1:14">
      <c r="A627" t="s">
        <v>768</v>
      </c>
      <c r="B627" s="1">
        <v>44964</v>
      </c>
      <c r="C627" t="s">
        <v>202</v>
      </c>
      <c r="D627" t="s">
        <v>203</v>
      </c>
      <c r="E627" t="s">
        <v>141</v>
      </c>
      <c r="F627" t="s">
        <v>142</v>
      </c>
      <c r="G627" t="s">
        <v>50</v>
      </c>
      <c r="H627" t="s">
        <v>154</v>
      </c>
      <c r="I627" t="s">
        <v>93</v>
      </c>
      <c r="J627">
        <v>1230.25</v>
      </c>
      <c r="K627">
        <v>1</v>
      </c>
      <c r="L627">
        <v>261.44</v>
      </c>
      <c r="M627" t="s">
        <v>63</v>
      </c>
      <c r="N627" t="s">
        <v>32</v>
      </c>
    </row>
    <row r="628" spans="1:14">
      <c r="A628" t="s">
        <v>769</v>
      </c>
      <c r="B628" s="1">
        <v>45229</v>
      </c>
      <c r="C628" t="s">
        <v>145</v>
      </c>
      <c r="D628" t="s">
        <v>146</v>
      </c>
      <c r="E628" t="s">
        <v>141</v>
      </c>
      <c r="F628" t="s">
        <v>142</v>
      </c>
      <c r="G628" t="s">
        <v>50</v>
      </c>
      <c r="H628" t="s">
        <v>79</v>
      </c>
      <c r="I628" t="s">
        <v>31</v>
      </c>
      <c r="J628">
        <v>71383</v>
      </c>
      <c r="K628">
        <v>2</v>
      </c>
      <c r="L628">
        <v>-447.75</v>
      </c>
      <c r="M628" t="s">
        <v>22</v>
      </c>
      <c r="N628" t="s">
        <v>32</v>
      </c>
    </row>
    <row r="629" spans="1:14">
      <c r="A629" t="s">
        <v>770</v>
      </c>
      <c r="B629" s="1">
        <v>45128</v>
      </c>
      <c r="C629" t="s">
        <v>77</v>
      </c>
      <c r="D629" t="s">
        <v>78</v>
      </c>
      <c r="E629" t="s">
        <v>27</v>
      </c>
      <c r="F629" t="s">
        <v>28</v>
      </c>
      <c r="G629" t="s">
        <v>29</v>
      </c>
      <c r="H629" t="s">
        <v>99</v>
      </c>
      <c r="I629" t="s">
        <v>21</v>
      </c>
      <c r="J629">
        <v>2397</v>
      </c>
      <c r="K629">
        <v>3</v>
      </c>
      <c r="L629">
        <v>-359.55</v>
      </c>
      <c r="M629" t="s">
        <v>22</v>
      </c>
      <c r="N629" t="s">
        <v>75</v>
      </c>
    </row>
    <row r="630" spans="1:14">
      <c r="A630" t="s">
        <v>771</v>
      </c>
      <c r="B630" s="1">
        <v>45175</v>
      </c>
      <c r="C630" t="s">
        <v>202</v>
      </c>
      <c r="D630" t="s">
        <v>203</v>
      </c>
      <c r="E630" t="s">
        <v>84</v>
      </c>
      <c r="F630" t="s">
        <v>85</v>
      </c>
      <c r="G630" t="s">
        <v>69</v>
      </c>
      <c r="H630" t="s">
        <v>115</v>
      </c>
      <c r="I630" t="s">
        <v>93</v>
      </c>
      <c r="J630">
        <v>4556.2</v>
      </c>
      <c r="K630">
        <v>4</v>
      </c>
      <c r="L630">
        <v>980.15</v>
      </c>
      <c r="M630" t="s">
        <v>40</v>
      </c>
      <c r="N630" t="s">
        <v>32</v>
      </c>
    </row>
    <row r="631" spans="1:14">
      <c r="A631" t="s">
        <v>772</v>
      </c>
      <c r="B631" s="1">
        <v>44929</v>
      </c>
      <c r="C631" t="s">
        <v>119</v>
      </c>
      <c r="D631" t="s">
        <v>120</v>
      </c>
      <c r="E631" t="s">
        <v>95</v>
      </c>
      <c r="F631" t="s">
        <v>96</v>
      </c>
      <c r="G631" t="s">
        <v>19</v>
      </c>
      <c r="H631" t="s">
        <v>109</v>
      </c>
      <c r="I631" t="s">
        <v>31</v>
      </c>
      <c r="J631">
        <v>104481</v>
      </c>
      <c r="K631">
        <v>2</v>
      </c>
      <c r="L631">
        <v>7475.75</v>
      </c>
      <c r="M631" t="s">
        <v>22</v>
      </c>
      <c r="N631" t="s">
        <v>32</v>
      </c>
    </row>
    <row r="632" spans="1:14">
      <c r="A632" t="s">
        <v>773</v>
      </c>
      <c r="B632" s="1">
        <v>45257</v>
      </c>
      <c r="C632" t="s">
        <v>25</v>
      </c>
      <c r="D632" t="s">
        <v>26</v>
      </c>
      <c r="E632" t="s">
        <v>87</v>
      </c>
      <c r="F632" t="s">
        <v>88</v>
      </c>
      <c r="G632" t="s">
        <v>29</v>
      </c>
      <c r="H632" t="s">
        <v>111</v>
      </c>
      <c r="I632" t="s">
        <v>59</v>
      </c>
      <c r="J632">
        <v>1528.3</v>
      </c>
      <c r="K632">
        <v>2</v>
      </c>
      <c r="L632">
        <v>-229.24</v>
      </c>
      <c r="M632" t="s">
        <v>22</v>
      </c>
      <c r="N632" t="s">
        <v>75</v>
      </c>
    </row>
    <row r="633" spans="1:14">
      <c r="A633" t="s">
        <v>774</v>
      </c>
      <c r="B633" s="1">
        <v>45248</v>
      </c>
      <c r="C633" t="s">
        <v>54</v>
      </c>
      <c r="D633" t="s">
        <v>55</v>
      </c>
      <c r="E633" t="s">
        <v>67</v>
      </c>
      <c r="F633" t="s">
        <v>68</v>
      </c>
      <c r="G633" t="s">
        <v>69</v>
      </c>
      <c r="H633" t="s">
        <v>51</v>
      </c>
      <c r="I633" t="s">
        <v>31</v>
      </c>
      <c r="J633">
        <v>21597.599999999999</v>
      </c>
      <c r="K633">
        <v>3</v>
      </c>
      <c r="L633">
        <v>-449.55</v>
      </c>
      <c r="M633" t="s">
        <v>22</v>
      </c>
      <c r="N633" t="s">
        <v>130</v>
      </c>
    </row>
    <row r="634" spans="1:14">
      <c r="A634" t="s">
        <v>775</v>
      </c>
      <c r="B634" s="1">
        <v>45161</v>
      </c>
      <c r="C634" t="s">
        <v>101</v>
      </c>
      <c r="D634" t="s">
        <v>102</v>
      </c>
      <c r="E634" t="s">
        <v>95</v>
      </c>
      <c r="F634" t="s">
        <v>96</v>
      </c>
      <c r="G634" t="s">
        <v>19</v>
      </c>
      <c r="H634" t="s">
        <v>143</v>
      </c>
      <c r="I634" t="s">
        <v>59</v>
      </c>
      <c r="J634">
        <v>3039.05</v>
      </c>
      <c r="K634">
        <v>1</v>
      </c>
      <c r="L634">
        <v>430.04</v>
      </c>
      <c r="M634" t="s">
        <v>40</v>
      </c>
      <c r="N634" t="s">
        <v>32</v>
      </c>
    </row>
    <row r="635" spans="1:14">
      <c r="A635" t="s">
        <v>776</v>
      </c>
      <c r="B635" s="1">
        <v>45038</v>
      </c>
      <c r="C635" t="s">
        <v>34</v>
      </c>
      <c r="D635" t="s">
        <v>35</v>
      </c>
      <c r="E635" t="s">
        <v>98</v>
      </c>
      <c r="F635" t="s">
        <v>68</v>
      </c>
      <c r="G635" t="s">
        <v>69</v>
      </c>
      <c r="H635" t="s">
        <v>115</v>
      </c>
      <c r="I635" t="s">
        <v>93</v>
      </c>
      <c r="J635">
        <v>4556.2</v>
      </c>
      <c r="K635">
        <v>4</v>
      </c>
      <c r="L635">
        <v>980.15</v>
      </c>
      <c r="M635" t="s">
        <v>63</v>
      </c>
      <c r="N635" t="s">
        <v>32</v>
      </c>
    </row>
    <row r="636" spans="1:14">
      <c r="A636" t="s">
        <v>777</v>
      </c>
      <c r="B636" s="1">
        <v>44993</v>
      </c>
      <c r="C636" t="s">
        <v>160</v>
      </c>
      <c r="D636" t="s">
        <v>161</v>
      </c>
      <c r="E636" t="s">
        <v>17</v>
      </c>
      <c r="F636" t="s">
        <v>18</v>
      </c>
      <c r="G636" t="s">
        <v>19</v>
      </c>
      <c r="H636" t="s">
        <v>177</v>
      </c>
      <c r="I636" t="s">
        <v>93</v>
      </c>
      <c r="J636">
        <v>2998</v>
      </c>
      <c r="K636">
        <v>2</v>
      </c>
      <c r="L636">
        <v>760</v>
      </c>
      <c r="M636" t="s">
        <v>63</v>
      </c>
      <c r="N636" t="s">
        <v>32</v>
      </c>
    </row>
    <row r="637" spans="1:14">
      <c r="A637" t="s">
        <v>778</v>
      </c>
      <c r="B637" s="1">
        <v>45095</v>
      </c>
      <c r="C637" t="s">
        <v>227</v>
      </c>
      <c r="D637" t="s">
        <v>228</v>
      </c>
      <c r="E637" t="s">
        <v>87</v>
      </c>
      <c r="F637" t="s">
        <v>88</v>
      </c>
      <c r="G637" t="s">
        <v>29</v>
      </c>
      <c r="H637" t="s">
        <v>215</v>
      </c>
      <c r="I637" t="s">
        <v>59</v>
      </c>
      <c r="J637">
        <v>12998</v>
      </c>
      <c r="K637">
        <v>2</v>
      </c>
      <c r="L637">
        <v>1900</v>
      </c>
      <c r="M637" t="s">
        <v>63</v>
      </c>
      <c r="N637" t="s">
        <v>32</v>
      </c>
    </row>
    <row r="638" spans="1:14">
      <c r="A638" t="s">
        <v>779</v>
      </c>
      <c r="B638" s="1">
        <v>44964</v>
      </c>
      <c r="C638" t="s">
        <v>170</v>
      </c>
      <c r="D638" t="s">
        <v>171</v>
      </c>
      <c r="E638" t="s">
        <v>141</v>
      </c>
      <c r="F638" t="s">
        <v>142</v>
      </c>
      <c r="G638" t="s">
        <v>50</v>
      </c>
      <c r="H638" t="s">
        <v>20</v>
      </c>
      <c r="I638" t="s">
        <v>21</v>
      </c>
      <c r="J638">
        <v>3237.3</v>
      </c>
      <c r="K638">
        <v>3</v>
      </c>
      <c r="L638">
        <v>510.22</v>
      </c>
      <c r="M638" t="s">
        <v>90</v>
      </c>
      <c r="N638" t="s">
        <v>32</v>
      </c>
    </row>
    <row r="639" spans="1:14">
      <c r="A639" t="s">
        <v>780</v>
      </c>
      <c r="B639" s="1">
        <v>45025</v>
      </c>
      <c r="C639" t="s">
        <v>170</v>
      </c>
      <c r="D639" t="s">
        <v>171</v>
      </c>
      <c r="E639" t="s">
        <v>141</v>
      </c>
      <c r="F639" t="s">
        <v>142</v>
      </c>
      <c r="G639" t="s">
        <v>50</v>
      </c>
      <c r="H639" t="s">
        <v>128</v>
      </c>
      <c r="I639" t="s">
        <v>31</v>
      </c>
      <c r="J639">
        <v>2990</v>
      </c>
      <c r="K639">
        <v>2</v>
      </c>
      <c r="L639">
        <v>-448.5</v>
      </c>
      <c r="M639" t="s">
        <v>22</v>
      </c>
      <c r="N639" t="s">
        <v>75</v>
      </c>
    </row>
    <row r="640" spans="1:14">
      <c r="A640" t="s">
        <v>781</v>
      </c>
      <c r="B640" s="1">
        <v>45073</v>
      </c>
      <c r="C640" t="s">
        <v>122</v>
      </c>
      <c r="D640" t="s">
        <v>123</v>
      </c>
      <c r="E640" t="s">
        <v>98</v>
      </c>
      <c r="F640" t="s">
        <v>68</v>
      </c>
      <c r="G640" t="s">
        <v>69</v>
      </c>
      <c r="H640" t="s">
        <v>38</v>
      </c>
      <c r="I640" t="s">
        <v>39</v>
      </c>
      <c r="J640">
        <v>449.1</v>
      </c>
      <c r="K640">
        <v>1</v>
      </c>
      <c r="L640">
        <v>122.57</v>
      </c>
      <c r="M640" t="s">
        <v>63</v>
      </c>
      <c r="N640" t="s">
        <v>130</v>
      </c>
    </row>
    <row r="641" spans="1:14">
      <c r="A641" t="s">
        <v>782</v>
      </c>
      <c r="B641" s="1">
        <v>45142</v>
      </c>
      <c r="C641" t="s">
        <v>132</v>
      </c>
      <c r="D641" t="s">
        <v>133</v>
      </c>
      <c r="E641" t="s">
        <v>87</v>
      </c>
      <c r="F641" t="s">
        <v>88</v>
      </c>
      <c r="G641" t="s">
        <v>29</v>
      </c>
      <c r="H641" t="s">
        <v>92</v>
      </c>
      <c r="I641" t="s">
        <v>93</v>
      </c>
      <c r="J641">
        <v>4998</v>
      </c>
      <c r="K641">
        <v>2</v>
      </c>
      <c r="L641">
        <v>-749.7</v>
      </c>
      <c r="M641" t="s">
        <v>22</v>
      </c>
      <c r="N641" t="s">
        <v>75</v>
      </c>
    </row>
    <row r="642" spans="1:14">
      <c r="A642" t="s">
        <v>783</v>
      </c>
      <c r="B642" s="1">
        <v>45067</v>
      </c>
      <c r="C642" t="s">
        <v>101</v>
      </c>
      <c r="D642" t="s">
        <v>102</v>
      </c>
      <c r="E642" t="s">
        <v>17</v>
      </c>
      <c r="F642" t="s">
        <v>18</v>
      </c>
      <c r="G642" t="s">
        <v>19</v>
      </c>
      <c r="H642" t="s">
        <v>115</v>
      </c>
      <c r="I642" t="s">
        <v>93</v>
      </c>
      <c r="J642">
        <v>3836.8</v>
      </c>
      <c r="K642">
        <v>4</v>
      </c>
      <c r="L642">
        <v>-575.52</v>
      </c>
      <c r="M642" t="s">
        <v>40</v>
      </c>
      <c r="N642" t="s">
        <v>75</v>
      </c>
    </row>
    <row r="643" spans="1:14">
      <c r="A643" t="s">
        <v>784</v>
      </c>
      <c r="B643" s="1">
        <v>45125</v>
      </c>
      <c r="C643" t="s">
        <v>43</v>
      </c>
      <c r="D643" t="s">
        <v>44</v>
      </c>
      <c r="E643" t="s">
        <v>157</v>
      </c>
      <c r="F643" t="s">
        <v>158</v>
      </c>
      <c r="G643" t="s">
        <v>29</v>
      </c>
      <c r="H643" t="s">
        <v>215</v>
      </c>
      <c r="I643" t="s">
        <v>59</v>
      </c>
      <c r="J643">
        <v>18522.150000000001</v>
      </c>
      <c r="K643">
        <v>3</v>
      </c>
      <c r="L643">
        <v>2118.86</v>
      </c>
      <c r="M643" t="s">
        <v>22</v>
      </c>
      <c r="N643" t="s">
        <v>32</v>
      </c>
    </row>
    <row r="644" spans="1:14">
      <c r="A644" t="s">
        <v>785</v>
      </c>
      <c r="B644" s="1">
        <v>45168</v>
      </c>
      <c r="C644" t="s">
        <v>275</v>
      </c>
      <c r="D644" t="s">
        <v>276</v>
      </c>
      <c r="E644" t="s">
        <v>27</v>
      </c>
      <c r="F644" t="s">
        <v>28</v>
      </c>
      <c r="G644" t="s">
        <v>29</v>
      </c>
      <c r="H644" t="s">
        <v>111</v>
      </c>
      <c r="I644" t="s">
        <v>59</v>
      </c>
      <c r="J644">
        <v>3416.2</v>
      </c>
      <c r="K644">
        <v>4</v>
      </c>
      <c r="L644">
        <v>-614.85</v>
      </c>
      <c r="M644" t="s">
        <v>90</v>
      </c>
      <c r="N644" t="s">
        <v>130</v>
      </c>
    </row>
    <row r="645" spans="1:14">
      <c r="A645" t="s">
        <v>786</v>
      </c>
      <c r="B645" s="1">
        <v>44928</v>
      </c>
      <c r="C645" t="s">
        <v>43</v>
      </c>
      <c r="D645" t="s">
        <v>44</v>
      </c>
      <c r="E645" t="s">
        <v>17</v>
      </c>
      <c r="F645" t="s">
        <v>18</v>
      </c>
      <c r="G645" t="s">
        <v>19</v>
      </c>
      <c r="H645" t="s">
        <v>147</v>
      </c>
      <c r="I645" t="s">
        <v>93</v>
      </c>
      <c r="J645">
        <v>5397.3</v>
      </c>
      <c r="K645">
        <v>3</v>
      </c>
      <c r="L645">
        <v>1110.22</v>
      </c>
      <c r="M645" t="s">
        <v>22</v>
      </c>
      <c r="N645" t="s">
        <v>32</v>
      </c>
    </row>
    <row r="646" spans="1:14">
      <c r="A646" t="s">
        <v>787</v>
      </c>
      <c r="B646" s="1">
        <v>45155</v>
      </c>
      <c r="C646" t="s">
        <v>132</v>
      </c>
      <c r="D646" t="s">
        <v>133</v>
      </c>
      <c r="E646" t="s">
        <v>17</v>
      </c>
      <c r="F646" t="s">
        <v>18</v>
      </c>
      <c r="G646" t="s">
        <v>19</v>
      </c>
      <c r="H646" t="s">
        <v>189</v>
      </c>
      <c r="I646" t="s">
        <v>59</v>
      </c>
      <c r="J646">
        <v>3515</v>
      </c>
      <c r="K646">
        <v>2</v>
      </c>
      <c r="L646">
        <v>541.25</v>
      </c>
      <c r="M646" t="s">
        <v>63</v>
      </c>
      <c r="N646" t="s">
        <v>32</v>
      </c>
    </row>
    <row r="647" spans="1:14">
      <c r="A647" t="s">
        <v>788</v>
      </c>
      <c r="B647" s="1">
        <v>45076</v>
      </c>
      <c r="C647" t="s">
        <v>34</v>
      </c>
      <c r="D647" t="s">
        <v>35</v>
      </c>
      <c r="E647" t="s">
        <v>95</v>
      </c>
      <c r="F647" t="s">
        <v>96</v>
      </c>
      <c r="G647" t="s">
        <v>19</v>
      </c>
      <c r="H647" t="s">
        <v>164</v>
      </c>
      <c r="I647" t="s">
        <v>39</v>
      </c>
      <c r="J647">
        <v>4796.8</v>
      </c>
      <c r="K647">
        <v>4</v>
      </c>
      <c r="L647">
        <v>540.6</v>
      </c>
      <c r="M647" t="s">
        <v>22</v>
      </c>
      <c r="N647" t="s">
        <v>32</v>
      </c>
    </row>
    <row r="648" spans="1:14">
      <c r="A648" t="s">
        <v>789</v>
      </c>
      <c r="B648" s="1">
        <v>45269</v>
      </c>
      <c r="C648" t="s">
        <v>175</v>
      </c>
      <c r="D648" t="s">
        <v>176</v>
      </c>
      <c r="E648" t="s">
        <v>87</v>
      </c>
      <c r="F648" t="s">
        <v>88</v>
      </c>
      <c r="G648" t="s">
        <v>29</v>
      </c>
      <c r="H648" t="s">
        <v>230</v>
      </c>
      <c r="I648" t="s">
        <v>39</v>
      </c>
      <c r="J648">
        <v>2206.6</v>
      </c>
      <c r="K648">
        <v>4</v>
      </c>
      <c r="L648">
        <v>587.95000000000005</v>
      </c>
      <c r="M648" t="s">
        <v>22</v>
      </c>
      <c r="N648" t="s">
        <v>32</v>
      </c>
    </row>
    <row r="649" spans="1:14">
      <c r="A649" t="s">
        <v>790</v>
      </c>
      <c r="B649" s="1">
        <v>45242</v>
      </c>
      <c r="C649" t="s">
        <v>72</v>
      </c>
      <c r="D649" t="s">
        <v>73</v>
      </c>
      <c r="E649" t="s">
        <v>141</v>
      </c>
      <c r="F649" t="s">
        <v>142</v>
      </c>
      <c r="G649" t="s">
        <v>50</v>
      </c>
      <c r="H649" t="s">
        <v>177</v>
      </c>
      <c r="I649" t="s">
        <v>93</v>
      </c>
      <c r="J649">
        <v>1199.2</v>
      </c>
      <c r="K649">
        <v>1</v>
      </c>
      <c r="L649">
        <v>155.15</v>
      </c>
      <c r="M649" t="s">
        <v>63</v>
      </c>
      <c r="N649" t="s">
        <v>41</v>
      </c>
    </row>
    <row r="650" spans="1:14">
      <c r="A650" t="s">
        <v>791</v>
      </c>
      <c r="B650" s="1">
        <v>45020</v>
      </c>
      <c r="C650" t="s">
        <v>113</v>
      </c>
      <c r="D650" t="s">
        <v>114</v>
      </c>
      <c r="E650" t="s">
        <v>141</v>
      </c>
      <c r="F650" t="s">
        <v>142</v>
      </c>
      <c r="G650" t="s">
        <v>50</v>
      </c>
      <c r="H650" t="s">
        <v>184</v>
      </c>
      <c r="I650" t="s">
        <v>39</v>
      </c>
      <c r="J650">
        <v>1785</v>
      </c>
      <c r="K650">
        <v>4</v>
      </c>
      <c r="L650">
        <v>463.75</v>
      </c>
      <c r="M650" t="s">
        <v>90</v>
      </c>
      <c r="N650" t="s">
        <v>41</v>
      </c>
    </row>
    <row r="651" spans="1:14">
      <c r="A651" t="s">
        <v>792</v>
      </c>
      <c r="B651" s="1">
        <v>45154</v>
      </c>
      <c r="C651" t="s">
        <v>132</v>
      </c>
      <c r="D651" t="s">
        <v>133</v>
      </c>
      <c r="E651" t="s">
        <v>27</v>
      </c>
      <c r="F651" t="s">
        <v>28</v>
      </c>
      <c r="G651" t="s">
        <v>29</v>
      </c>
      <c r="H651" t="s">
        <v>105</v>
      </c>
      <c r="I651" t="s">
        <v>59</v>
      </c>
      <c r="J651">
        <v>37497</v>
      </c>
      <c r="K651">
        <v>3</v>
      </c>
      <c r="L651">
        <v>-4350</v>
      </c>
      <c r="M651" t="s">
        <v>40</v>
      </c>
      <c r="N651" t="s">
        <v>32</v>
      </c>
    </row>
    <row r="652" spans="1:14">
      <c r="A652" t="s">
        <v>793</v>
      </c>
      <c r="B652" s="1">
        <v>45040</v>
      </c>
      <c r="C652" t="s">
        <v>220</v>
      </c>
      <c r="D652" t="s">
        <v>221</v>
      </c>
      <c r="E652" t="s">
        <v>124</v>
      </c>
      <c r="F652" t="s">
        <v>125</v>
      </c>
      <c r="G652" t="s">
        <v>50</v>
      </c>
      <c r="H652" t="s">
        <v>137</v>
      </c>
      <c r="I652" t="s">
        <v>93</v>
      </c>
      <c r="J652">
        <v>1790</v>
      </c>
      <c r="K652">
        <v>1</v>
      </c>
      <c r="L652">
        <v>390</v>
      </c>
      <c r="M652" t="s">
        <v>22</v>
      </c>
      <c r="N652" t="s">
        <v>130</v>
      </c>
    </row>
    <row r="653" spans="1:14">
      <c r="A653" t="s">
        <v>794</v>
      </c>
      <c r="B653" s="1">
        <v>45163</v>
      </c>
      <c r="C653" t="s">
        <v>122</v>
      </c>
      <c r="D653" t="s">
        <v>123</v>
      </c>
      <c r="E653" t="s">
        <v>157</v>
      </c>
      <c r="F653" t="s">
        <v>158</v>
      </c>
      <c r="G653" t="s">
        <v>29</v>
      </c>
      <c r="H653" t="s">
        <v>74</v>
      </c>
      <c r="I653" t="s">
        <v>31</v>
      </c>
      <c r="J653">
        <v>66283</v>
      </c>
      <c r="K653">
        <v>2</v>
      </c>
      <c r="L653">
        <v>0</v>
      </c>
      <c r="M653" t="s">
        <v>22</v>
      </c>
      <c r="N653" t="s">
        <v>23</v>
      </c>
    </row>
    <row r="654" spans="1:14">
      <c r="A654" t="s">
        <v>795</v>
      </c>
      <c r="B654" s="1">
        <v>45020</v>
      </c>
      <c r="C654" t="s">
        <v>220</v>
      </c>
      <c r="D654" t="s">
        <v>221</v>
      </c>
      <c r="E654" t="s">
        <v>157</v>
      </c>
      <c r="F654" t="s">
        <v>158</v>
      </c>
      <c r="G654" t="s">
        <v>29</v>
      </c>
      <c r="H654" t="s">
        <v>184</v>
      </c>
      <c r="I654" t="s">
        <v>39</v>
      </c>
      <c r="J654">
        <v>1995</v>
      </c>
      <c r="K654">
        <v>4</v>
      </c>
      <c r="L654">
        <v>621.25</v>
      </c>
      <c r="M654" t="s">
        <v>22</v>
      </c>
      <c r="N654" t="s">
        <v>32</v>
      </c>
    </row>
    <row r="655" spans="1:14">
      <c r="A655" t="s">
        <v>796</v>
      </c>
      <c r="B655" s="1">
        <v>45063</v>
      </c>
      <c r="C655" t="s">
        <v>34</v>
      </c>
      <c r="D655" t="s">
        <v>35</v>
      </c>
      <c r="E655" t="s">
        <v>56</v>
      </c>
      <c r="F655" t="s">
        <v>57</v>
      </c>
      <c r="G655" t="s">
        <v>50</v>
      </c>
      <c r="H655" t="s">
        <v>137</v>
      </c>
      <c r="I655" t="s">
        <v>93</v>
      </c>
      <c r="J655">
        <v>7160</v>
      </c>
      <c r="K655">
        <v>4</v>
      </c>
      <c r="L655">
        <v>1560</v>
      </c>
      <c r="M655" t="s">
        <v>22</v>
      </c>
      <c r="N655" t="s">
        <v>32</v>
      </c>
    </row>
    <row r="656" spans="1:14">
      <c r="A656" t="s">
        <v>797</v>
      </c>
      <c r="B656" s="1">
        <v>45080</v>
      </c>
      <c r="C656" t="s">
        <v>81</v>
      </c>
      <c r="D656" t="s">
        <v>82</v>
      </c>
      <c r="E656" t="s">
        <v>17</v>
      </c>
      <c r="F656" t="s">
        <v>18</v>
      </c>
      <c r="G656" t="s">
        <v>19</v>
      </c>
      <c r="H656" t="s">
        <v>147</v>
      </c>
      <c r="I656" t="s">
        <v>93</v>
      </c>
      <c r="J656">
        <v>5997</v>
      </c>
      <c r="K656">
        <v>3</v>
      </c>
      <c r="L656">
        <v>1560</v>
      </c>
      <c r="M656" t="s">
        <v>52</v>
      </c>
      <c r="N656" t="s">
        <v>32</v>
      </c>
    </row>
    <row r="657" spans="1:14">
      <c r="A657" t="s">
        <v>798</v>
      </c>
      <c r="B657" s="1">
        <v>45212</v>
      </c>
      <c r="C657" t="s">
        <v>122</v>
      </c>
      <c r="D657" t="s">
        <v>123</v>
      </c>
      <c r="E657" t="s">
        <v>17</v>
      </c>
      <c r="F657" t="s">
        <v>18</v>
      </c>
      <c r="G657" t="s">
        <v>19</v>
      </c>
      <c r="H657" t="s">
        <v>58</v>
      </c>
      <c r="I657" t="s">
        <v>59</v>
      </c>
      <c r="J657">
        <v>756</v>
      </c>
      <c r="K657">
        <v>1</v>
      </c>
      <c r="L657">
        <v>-113.4</v>
      </c>
      <c r="M657" t="s">
        <v>22</v>
      </c>
      <c r="N657" t="s">
        <v>75</v>
      </c>
    </row>
    <row r="658" spans="1:14">
      <c r="A658" t="s">
        <v>799</v>
      </c>
      <c r="B658" s="1">
        <v>45145</v>
      </c>
      <c r="C658" t="s">
        <v>132</v>
      </c>
      <c r="D658" t="s">
        <v>133</v>
      </c>
      <c r="E658" t="s">
        <v>67</v>
      </c>
      <c r="F658" t="s">
        <v>68</v>
      </c>
      <c r="G658" t="s">
        <v>69</v>
      </c>
      <c r="H658" t="s">
        <v>74</v>
      </c>
      <c r="I658" t="s">
        <v>31</v>
      </c>
      <c r="J658">
        <v>62384</v>
      </c>
      <c r="K658">
        <v>2</v>
      </c>
      <c r="L658">
        <v>-3497</v>
      </c>
      <c r="M658" t="s">
        <v>63</v>
      </c>
      <c r="N658" t="s">
        <v>32</v>
      </c>
    </row>
    <row r="659" spans="1:14">
      <c r="A659" t="s">
        <v>800</v>
      </c>
      <c r="B659" s="1">
        <v>45055</v>
      </c>
      <c r="C659" t="s">
        <v>34</v>
      </c>
      <c r="D659" t="s">
        <v>35</v>
      </c>
      <c r="E659" t="s">
        <v>103</v>
      </c>
      <c r="F659" t="s">
        <v>104</v>
      </c>
      <c r="G659" t="s">
        <v>19</v>
      </c>
      <c r="H659" t="s">
        <v>89</v>
      </c>
      <c r="I659" t="s">
        <v>21</v>
      </c>
      <c r="J659">
        <v>3238.2</v>
      </c>
      <c r="K659">
        <v>2</v>
      </c>
      <c r="L659">
        <v>490.15</v>
      </c>
      <c r="M659" t="s">
        <v>40</v>
      </c>
      <c r="N659" t="s">
        <v>32</v>
      </c>
    </row>
    <row r="660" spans="1:14">
      <c r="A660" t="s">
        <v>801</v>
      </c>
      <c r="B660" s="1">
        <v>45114</v>
      </c>
      <c r="C660" t="s">
        <v>119</v>
      </c>
      <c r="D660" t="s">
        <v>120</v>
      </c>
      <c r="E660" t="s">
        <v>49</v>
      </c>
      <c r="F660" t="s">
        <v>49</v>
      </c>
      <c r="G660" t="s">
        <v>50</v>
      </c>
      <c r="H660" t="s">
        <v>128</v>
      </c>
      <c r="I660" t="s">
        <v>31</v>
      </c>
      <c r="J660">
        <v>1495</v>
      </c>
      <c r="K660">
        <v>1</v>
      </c>
      <c r="L660">
        <v>350</v>
      </c>
      <c r="M660" t="s">
        <v>22</v>
      </c>
      <c r="N660" t="s">
        <v>32</v>
      </c>
    </row>
    <row r="661" spans="1:14">
      <c r="A661" t="s">
        <v>802</v>
      </c>
      <c r="B661" s="1">
        <v>45023</v>
      </c>
      <c r="C661" t="s">
        <v>220</v>
      </c>
      <c r="D661" t="s">
        <v>221</v>
      </c>
      <c r="E661" t="s">
        <v>27</v>
      </c>
      <c r="F661" t="s">
        <v>28</v>
      </c>
      <c r="G661" t="s">
        <v>29</v>
      </c>
      <c r="H661" t="s">
        <v>143</v>
      </c>
      <c r="I661" t="s">
        <v>59</v>
      </c>
      <c r="J661">
        <v>6398</v>
      </c>
      <c r="K661">
        <v>2</v>
      </c>
      <c r="L661">
        <v>1100</v>
      </c>
      <c r="M661" t="s">
        <v>90</v>
      </c>
      <c r="N661" t="s">
        <v>32</v>
      </c>
    </row>
    <row r="662" spans="1:14">
      <c r="A662" t="s">
        <v>803</v>
      </c>
      <c r="B662" s="1">
        <v>45089</v>
      </c>
      <c r="C662" t="s">
        <v>43</v>
      </c>
      <c r="D662" t="s">
        <v>44</v>
      </c>
      <c r="E662" t="s">
        <v>49</v>
      </c>
      <c r="F662" t="s">
        <v>49</v>
      </c>
      <c r="G662" t="s">
        <v>50</v>
      </c>
      <c r="H662" t="s">
        <v>173</v>
      </c>
      <c r="I662" t="s">
        <v>59</v>
      </c>
      <c r="J662">
        <v>3439.2</v>
      </c>
      <c r="K662">
        <v>1</v>
      </c>
      <c r="L662">
        <v>75.150000000000006</v>
      </c>
      <c r="M662" t="s">
        <v>90</v>
      </c>
      <c r="N662" t="s">
        <v>32</v>
      </c>
    </row>
    <row r="663" spans="1:14">
      <c r="A663" t="s">
        <v>804</v>
      </c>
      <c r="B663" s="1">
        <v>45074</v>
      </c>
      <c r="C663" t="s">
        <v>132</v>
      </c>
      <c r="D663" t="s">
        <v>133</v>
      </c>
      <c r="E663" t="s">
        <v>67</v>
      </c>
      <c r="F663" t="s">
        <v>68</v>
      </c>
      <c r="G663" t="s">
        <v>69</v>
      </c>
      <c r="H663" t="s">
        <v>105</v>
      </c>
      <c r="I663" t="s">
        <v>59</v>
      </c>
      <c r="J663">
        <v>49996</v>
      </c>
      <c r="K663">
        <v>4</v>
      </c>
      <c r="L663">
        <v>-5800</v>
      </c>
      <c r="M663" t="s">
        <v>90</v>
      </c>
      <c r="N663" t="s">
        <v>32</v>
      </c>
    </row>
    <row r="664" spans="1:14">
      <c r="A664" t="s">
        <v>805</v>
      </c>
      <c r="B664" s="1">
        <v>45201</v>
      </c>
      <c r="C664" t="s">
        <v>25</v>
      </c>
      <c r="D664" t="s">
        <v>26</v>
      </c>
      <c r="E664" t="s">
        <v>36</v>
      </c>
      <c r="F664" t="s">
        <v>37</v>
      </c>
      <c r="G664" t="s">
        <v>19</v>
      </c>
      <c r="H664" t="s">
        <v>143</v>
      </c>
      <c r="I664" t="s">
        <v>59</v>
      </c>
      <c r="J664">
        <v>5758.2</v>
      </c>
      <c r="K664">
        <v>2</v>
      </c>
      <c r="L664">
        <v>620.15</v>
      </c>
      <c r="M664" t="s">
        <v>40</v>
      </c>
      <c r="N664" t="s">
        <v>32</v>
      </c>
    </row>
    <row r="665" spans="1:14">
      <c r="A665" t="s">
        <v>806</v>
      </c>
      <c r="B665" s="1">
        <v>45209</v>
      </c>
      <c r="C665" t="s">
        <v>122</v>
      </c>
      <c r="D665" t="s">
        <v>123</v>
      </c>
      <c r="E665" t="s">
        <v>103</v>
      </c>
      <c r="F665" t="s">
        <v>104</v>
      </c>
      <c r="G665" t="s">
        <v>19</v>
      </c>
      <c r="H665" t="s">
        <v>137</v>
      </c>
      <c r="I665" t="s">
        <v>93</v>
      </c>
      <c r="J665">
        <v>3401</v>
      </c>
      <c r="K665">
        <v>2</v>
      </c>
      <c r="L665">
        <v>645.75</v>
      </c>
      <c r="M665" t="s">
        <v>63</v>
      </c>
      <c r="N665" t="s">
        <v>32</v>
      </c>
    </row>
    <row r="666" spans="1:14">
      <c r="A666" t="s">
        <v>807</v>
      </c>
      <c r="B666" s="1">
        <v>45155</v>
      </c>
      <c r="C666" t="s">
        <v>61</v>
      </c>
      <c r="D666" t="s">
        <v>62</v>
      </c>
      <c r="E666" t="s">
        <v>124</v>
      </c>
      <c r="F666" t="s">
        <v>125</v>
      </c>
      <c r="G666" t="s">
        <v>50</v>
      </c>
      <c r="H666" t="s">
        <v>147</v>
      </c>
      <c r="I666" t="s">
        <v>93</v>
      </c>
      <c r="J666">
        <v>3998</v>
      </c>
      <c r="K666">
        <v>2</v>
      </c>
      <c r="L666">
        <v>1040</v>
      </c>
      <c r="M666" t="s">
        <v>63</v>
      </c>
      <c r="N666" t="s">
        <v>32</v>
      </c>
    </row>
    <row r="667" spans="1:14">
      <c r="A667" t="s">
        <v>808</v>
      </c>
      <c r="B667" s="1">
        <v>45026</v>
      </c>
      <c r="C667" t="s">
        <v>54</v>
      </c>
      <c r="D667" t="s">
        <v>55</v>
      </c>
      <c r="E667" t="s">
        <v>67</v>
      </c>
      <c r="F667" t="s">
        <v>68</v>
      </c>
      <c r="G667" t="s">
        <v>69</v>
      </c>
      <c r="H667" t="s">
        <v>143</v>
      </c>
      <c r="I667" t="s">
        <v>59</v>
      </c>
      <c r="J667">
        <v>3199</v>
      </c>
      <c r="K667">
        <v>1</v>
      </c>
      <c r="L667">
        <v>550</v>
      </c>
      <c r="M667" t="s">
        <v>40</v>
      </c>
      <c r="N667" t="s">
        <v>32</v>
      </c>
    </row>
    <row r="668" spans="1:14">
      <c r="A668" t="s">
        <v>809</v>
      </c>
      <c r="B668" s="1">
        <v>45114</v>
      </c>
      <c r="C668" t="s">
        <v>220</v>
      </c>
      <c r="D668" t="s">
        <v>221</v>
      </c>
      <c r="E668" t="s">
        <v>27</v>
      </c>
      <c r="F668" t="s">
        <v>28</v>
      </c>
      <c r="G668" t="s">
        <v>29</v>
      </c>
      <c r="H668" t="s">
        <v>105</v>
      </c>
      <c r="I668" t="s">
        <v>59</v>
      </c>
      <c r="J668">
        <v>49996</v>
      </c>
      <c r="K668">
        <v>4</v>
      </c>
      <c r="L668">
        <v>-5800</v>
      </c>
      <c r="M668" t="s">
        <v>22</v>
      </c>
      <c r="N668" t="s">
        <v>32</v>
      </c>
    </row>
    <row r="669" spans="1:14">
      <c r="A669" t="s">
        <v>810</v>
      </c>
      <c r="B669" s="1">
        <v>45024</v>
      </c>
      <c r="C669" t="s">
        <v>61</v>
      </c>
      <c r="D669" t="s">
        <v>62</v>
      </c>
      <c r="E669" t="s">
        <v>36</v>
      </c>
      <c r="F669" t="s">
        <v>37</v>
      </c>
      <c r="G669" t="s">
        <v>19</v>
      </c>
      <c r="H669" t="s">
        <v>189</v>
      </c>
      <c r="I669" t="s">
        <v>59</v>
      </c>
      <c r="J669">
        <v>3330</v>
      </c>
      <c r="K669">
        <v>2</v>
      </c>
      <c r="L669">
        <v>-499.5</v>
      </c>
      <c r="M669" t="s">
        <v>22</v>
      </c>
      <c r="N669" t="s">
        <v>75</v>
      </c>
    </row>
    <row r="670" spans="1:14">
      <c r="A670" t="s">
        <v>811</v>
      </c>
      <c r="B670" s="1">
        <v>45244</v>
      </c>
      <c r="C670" t="s">
        <v>113</v>
      </c>
      <c r="D670" t="s">
        <v>114</v>
      </c>
      <c r="E670" t="s">
        <v>124</v>
      </c>
      <c r="F670" t="s">
        <v>125</v>
      </c>
      <c r="G670" t="s">
        <v>50</v>
      </c>
      <c r="H670" t="s">
        <v>164</v>
      </c>
      <c r="I670" t="s">
        <v>39</v>
      </c>
      <c r="J670">
        <v>5996</v>
      </c>
      <c r="K670">
        <v>4</v>
      </c>
      <c r="L670">
        <v>1440</v>
      </c>
      <c r="M670" t="s">
        <v>52</v>
      </c>
      <c r="N670" t="s">
        <v>32</v>
      </c>
    </row>
    <row r="671" spans="1:14">
      <c r="A671" t="s">
        <v>812</v>
      </c>
      <c r="B671" s="1">
        <v>45023</v>
      </c>
      <c r="C671" t="s">
        <v>101</v>
      </c>
      <c r="D671" t="s">
        <v>102</v>
      </c>
      <c r="E671" t="s">
        <v>98</v>
      </c>
      <c r="F671" t="s">
        <v>68</v>
      </c>
      <c r="G671" t="s">
        <v>69</v>
      </c>
      <c r="H671" t="s">
        <v>143</v>
      </c>
      <c r="I671" t="s">
        <v>59</v>
      </c>
      <c r="J671">
        <v>10876.6</v>
      </c>
      <c r="K671">
        <v>4</v>
      </c>
      <c r="L671">
        <v>760.45</v>
      </c>
      <c r="M671" t="s">
        <v>40</v>
      </c>
      <c r="N671" t="s">
        <v>32</v>
      </c>
    </row>
    <row r="672" spans="1:14">
      <c r="A672" t="s">
        <v>813</v>
      </c>
      <c r="B672" s="1">
        <v>45150</v>
      </c>
      <c r="C672" t="s">
        <v>25</v>
      </c>
      <c r="D672" t="s">
        <v>26</v>
      </c>
      <c r="E672" t="s">
        <v>103</v>
      </c>
      <c r="F672" t="s">
        <v>104</v>
      </c>
      <c r="G672" t="s">
        <v>19</v>
      </c>
      <c r="H672" t="s">
        <v>74</v>
      </c>
      <c r="I672" t="s">
        <v>31</v>
      </c>
      <c r="J672">
        <v>38990</v>
      </c>
      <c r="K672">
        <v>1</v>
      </c>
      <c r="L672">
        <v>4100</v>
      </c>
      <c r="M672" t="s">
        <v>90</v>
      </c>
      <c r="N672" t="s">
        <v>32</v>
      </c>
    </row>
    <row r="673" spans="1:14">
      <c r="A673" t="s">
        <v>814</v>
      </c>
      <c r="B673" s="1">
        <v>45189</v>
      </c>
      <c r="C673" t="s">
        <v>101</v>
      </c>
      <c r="D673" t="s">
        <v>102</v>
      </c>
      <c r="E673" t="s">
        <v>56</v>
      </c>
      <c r="F673" t="s">
        <v>57</v>
      </c>
      <c r="G673" t="s">
        <v>50</v>
      </c>
      <c r="H673" t="s">
        <v>89</v>
      </c>
      <c r="I673" t="s">
        <v>21</v>
      </c>
      <c r="J673">
        <v>1529.15</v>
      </c>
      <c r="K673">
        <v>1</v>
      </c>
      <c r="L673">
        <v>177.61</v>
      </c>
      <c r="M673" t="s">
        <v>63</v>
      </c>
      <c r="N673" t="s">
        <v>32</v>
      </c>
    </row>
    <row r="674" spans="1:14">
      <c r="A674" t="s">
        <v>815</v>
      </c>
      <c r="B674" s="1">
        <v>45212</v>
      </c>
      <c r="C674" t="s">
        <v>15</v>
      </c>
      <c r="D674" t="s">
        <v>16</v>
      </c>
      <c r="E674" t="s">
        <v>84</v>
      </c>
      <c r="F674" t="s">
        <v>85</v>
      </c>
      <c r="G674" t="s">
        <v>69</v>
      </c>
      <c r="H674" t="s">
        <v>111</v>
      </c>
      <c r="I674" t="s">
        <v>59</v>
      </c>
      <c r="J674">
        <v>2292.4499999999998</v>
      </c>
      <c r="K674">
        <v>3</v>
      </c>
      <c r="L674">
        <v>0</v>
      </c>
      <c r="M674" t="s">
        <v>22</v>
      </c>
      <c r="N674" t="s">
        <v>23</v>
      </c>
    </row>
    <row r="675" spans="1:14">
      <c r="A675" t="s">
        <v>816</v>
      </c>
      <c r="B675" s="1">
        <v>45067</v>
      </c>
      <c r="C675" t="s">
        <v>145</v>
      </c>
      <c r="D675" t="s">
        <v>146</v>
      </c>
      <c r="E675" t="s">
        <v>98</v>
      </c>
      <c r="F675" t="s">
        <v>68</v>
      </c>
      <c r="G675" t="s">
        <v>69</v>
      </c>
      <c r="H675" t="s">
        <v>117</v>
      </c>
      <c r="I675" t="s">
        <v>93</v>
      </c>
      <c r="J675">
        <v>8736.2000000000007</v>
      </c>
      <c r="K675">
        <v>4</v>
      </c>
      <c r="L675">
        <v>-1064.8499999999999</v>
      </c>
      <c r="M675" t="s">
        <v>63</v>
      </c>
      <c r="N675" t="s">
        <v>130</v>
      </c>
    </row>
    <row r="676" spans="1:14">
      <c r="A676" t="s">
        <v>817</v>
      </c>
      <c r="B676" s="1">
        <v>45119</v>
      </c>
      <c r="C676" t="s">
        <v>149</v>
      </c>
      <c r="D676" t="s">
        <v>150</v>
      </c>
      <c r="E676" t="s">
        <v>98</v>
      </c>
      <c r="F676" t="s">
        <v>68</v>
      </c>
      <c r="G676" t="s">
        <v>69</v>
      </c>
      <c r="H676" t="s">
        <v>184</v>
      </c>
      <c r="I676" t="s">
        <v>39</v>
      </c>
      <c r="J676">
        <v>525</v>
      </c>
      <c r="K676">
        <v>1</v>
      </c>
      <c r="L676">
        <v>175</v>
      </c>
      <c r="M676" t="s">
        <v>22</v>
      </c>
      <c r="N676" t="s">
        <v>32</v>
      </c>
    </row>
    <row r="677" spans="1:14">
      <c r="A677" t="s">
        <v>818</v>
      </c>
      <c r="B677" s="1">
        <v>45013</v>
      </c>
      <c r="C677" t="s">
        <v>122</v>
      </c>
      <c r="D677" t="s">
        <v>123</v>
      </c>
      <c r="E677" t="s">
        <v>157</v>
      </c>
      <c r="F677" t="s">
        <v>158</v>
      </c>
      <c r="G677" t="s">
        <v>29</v>
      </c>
      <c r="H677" t="s">
        <v>74</v>
      </c>
      <c r="I677" t="s">
        <v>31</v>
      </c>
      <c r="J677">
        <v>105273</v>
      </c>
      <c r="K677">
        <v>3</v>
      </c>
      <c r="L677">
        <v>3527.25</v>
      </c>
      <c r="M677" t="s">
        <v>22</v>
      </c>
      <c r="N677" t="s">
        <v>32</v>
      </c>
    </row>
    <row r="678" spans="1:14">
      <c r="A678" t="s">
        <v>819</v>
      </c>
      <c r="B678" s="1">
        <v>45073</v>
      </c>
      <c r="C678" t="s">
        <v>149</v>
      </c>
      <c r="D678" t="s">
        <v>150</v>
      </c>
      <c r="E678" t="s">
        <v>98</v>
      </c>
      <c r="F678" t="s">
        <v>68</v>
      </c>
      <c r="G678" t="s">
        <v>69</v>
      </c>
      <c r="H678" t="s">
        <v>261</v>
      </c>
      <c r="I678" t="s">
        <v>21</v>
      </c>
      <c r="J678">
        <v>20899.05</v>
      </c>
      <c r="K678">
        <v>1</v>
      </c>
      <c r="L678">
        <v>1575.04</v>
      </c>
      <c r="M678" t="s">
        <v>90</v>
      </c>
      <c r="N678" t="s">
        <v>32</v>
      </c>
    </row>
    <row r="679" spans="1:14">
      <c r="A679" t="s">
        <v>820</v>
      </c>
      <c r="B679" s="1">
        <v>45072</v>
      </c>
      <c r="C679" t="s">
        <v>160</v>
      </c>
      <c r="D679" t="s">
        <v>161</v>
      </c>
      <c r="E679" t="s">
        <v>135</v>
      </c>
      <c r="F679" t="s">
        <v>136</v>
      </c>
      <c r="G679" t="s">
        <v>69</v>
      </c>
      <c r="H679" t="s">
        <v>74</v>
      </c>
      <c r="I679" t="s">
        <v>31</v>
      </c>
      <c r="J679">
        <v>148162</v>
      </c>
      <c r="K679">
        <v>4</v>
      </c>
      <c r="L679">
        <v>10551.5</v>
      </c>
      <c r="M679" t="s">
        <v>22</v>
      </c>
      <c r="N679" t="s">
        <v>32</v>
      </c>
    </row>
    <row r="680" spans="1:14">
      <c r="A680" t="s">
        <v>821</v>
      </c>
      <c r="B680" s="1">
        <v>45237</v>
      </c>
      <c r="C680" t="s">
        <v>119</v>
      </c>
      <c r="D680" t="s">
        <v>120</v>
      </c>
      <c r="E680" t="s">
        <v>27</v>
      </c>
      <c r="F680" t="s">
        <v>28</v>
      </c>
      <c r="G680" t="s">
        <v>29</v>
      </c>
      <c r="H680" t="s">
        <v>92</v>
      </c>
      <c r="I680" t="s">
        <v>93</v>
      </c>
      <c r="J680">
        <v>1999.2</v>
      </c>
      <c r="K680">
        <v>1</v>
      </c>
      <c r="L680">
        <v>275.14999999999998</v>
      </c>
      <c r="M680" t="s">
        <v>90</v>
      </c>
      <c r="N680" t="s">
        <v>32</v>
      </c>
    </row>
    <row r="681" spans="1:14">
      <c r="A681" t="s">
        <v>822</v>
      </c>
      <c r="B681" s="1">
        <v>45282</v>
      </c>
      <c r="C681" t="s">
        <v>72</v>
      </c>
      <c r="D681" t="s">
        <v>73</v>
      </c>
      <c r="E681" t="s">
        <v>157</v>
      </c>
      <c r="F681" t="s">
        <v>158</v>
      </c>
      <c r="G681" t="s">
        <v>29</v>
      </c>
      <c r="H681" t="s">
        <v>215</v>
      </c>
      <c r="I681" t="s">
        <v>59</v>
      </c>
      <c r="J681">
        <v>6499</v>
      </c>
      <c r="K681">
        <v>1</v>
      </c>
      <c r="L681">
        <v>950</v>
      </c>
      <c r="M681" t="s">
        <v>22</v>
      </c>
      <c r="N681" t="s">
        <v>130</v>
      </c>
    </row>
    <row r="682" spans="1:14">
      <c r="A682" t="s">
        <v>823</v>
      </c>
      <c r="B682" s="1">
        <v>44992</v>
      </c>
      <c r="C682" t="s">
        <v>170</v>
      </c>
      <c r="D682" t="s">
        <v>171</v>
      </c>
      <c r="E682" t="s">
        <v>67</v>
      </c>
      <c r="F682" t="s">
        <v>68</v>
      </c>
      <c r="G682" t="s">
        <v>69</v>
      </c>
      <c r="H682" t="s">
        <v>128</v>
      </c>
      <c r="I682" t="s">
        <v>31</v>
      </c>
      <c r="J682">
        <v>5083</v>
      </c>
      <c r="K682">
        <v>4</v>
      </c>
      <c r="L682">
        <v>727.25</v>
      </c>
      <c r="M682" t="s">
        <v>63</v>
      </c>
      <c r="N682" t="s">
        <v>32</v>
      </c>
    </row>
    <row r="683" spans="1:14">
      <c r="A683" t="s">
        <v>824</v>
      </c>
      <c r="B683" s="1">
        <v>45005</v>
      </c>
      <c r="C683" t="s">
        <v>119</v>
      </c>
      <c r="D683" t="s">
        <v>120</v>
      </c>
      <c r="E683" t="s">
        <v>27</v>
      </c>
      <c r="F683" t="s">
        <v>28</v>
      </c>
      <c r="G683" t="s">
        <v>29</v>
      </c>
      <c r="H683" t="s">
        <v>74</v>
      </c>
      <c r="I683" t="s">
        <v>31</v>
      </c>
      <c r="J683">
        <v>38990</v>
      </c>
      <c r="K683">
        <v>1</v>
      </c>
      <c r="L683">
        <v>4100</v>
      </c>
      <c r="M683" t="s">
        <v>22</v>
      </c>
      <c r="N683" t="s">
        <v>32</v>
      </c>
    </row>
    <row r="684" spans="1:14">
      <c r="A684" t="s">
        <v>825</v>
      </c>
      <c r="B684" s="1">
        <v>45016</v>
      </c>
      <c r="C684" t="s">
        <v>15</v>
      </c>
      <c r="D684" t="s">
        <v>16</v>
      </c>
      <c r="E684" t="s">
        <v>56</v>
      </c>
      <c r="F684" t="s">
        <v>57</v>
      </c>
      <c r="G684" t="s">
        <v>50</v>
      </c>
      <c r="H684" t="s">
        <v>230</v>
      </c>
      <c r="I684" t="s">
        <v>39</v>
      </c>
      <c r="J684">
        <v>616.54999999999995</v>
      </c>
      <c r="K684">
        <v>1</v>
      </c>
      <c r="L684">
        <v>195.66</v>
      </c>
      <c r="M684" t="s">
        <v>52</v>
      </c>
      <c r="N684" t="s">
        <v>32</v>
      </c>
    </row>
    <row r="685" spans="1:14">
      <c r="A685" t="s">
        <v>826</v>
      </c>
      <c r="B685" s="1">
        <v>45185</v>
      </c>
      <c r="C685" t="s">
        <v>160</v>
      </c>
      <c r="D685" t="s">
        <v>161</v>
      </c>
      <c r="E685" t="s">
        <v>67</v>
      </c>
      <c r="F685" t="s">
        <v>68</v>
      </c>
      <c r="G685" t="s">
        <v>69</v>
      </c>
      <c r="H685" t="s">
        <v>128</v>
      </c>
      <c r="I685" t="s">
        <v>31</v>
      </c>
      <c r="J685">
        <v>1495</v>
      </c>
      <c r="K685">
        <v>1</v>
      </c>
      <c r="L685">
        <v>350</v>
      </c>
      <c r="M685" t="s">
        <v>22</v>
      </c>
      <c r="N685" t="s">
        <v>32</v>
      </c>
    </row>
    <row r="686" spans="1:14">
      <c r="A686" t="s">
        <v>827</v>
      </c>
      <c r="B686" s="1">
        <v>44958</v>
      </c>
      <c r="C686" t="s">
        <v>175</v>
      </c>
      <c r="D686" t="s">
        <v>176</v>
      </c>
      <c r="E686" t="s">
        <v>17</v>
      </c>
      <c r="F686" t="s">
        <v>18</v>
      </c>
      <c r="G686" t="s">
        <v>19</v>
      </c>
      <c r="H686" t="s">
        <v>89</v>
      </c>
      <c r="I686" t="s">
        <v>21</v>
      </c>
      <c r="J686">
        <v>4587.45</v>
      </c>
      <c r="K686">
        <v>3</v>
      </c>
      <c r="L686">
        <v>532.84</v>
      </c>
      <c r="M686" t="s">
        <v>90</v>
      </c>
      <c r="N686" t="s">
        <v>32</v>
      </c>
    </row>
    <row r="687" spans="1:14">
      <c r="A687" t="s">
        <v>828</v>
      </c>
      <c r="B687" s="1">
        <v>45075</v>
      </c>
      <c r="C687" t="s">
        <v>160</v>
      </c>
      <c r="D687" t="s">
        <v>161</v>
      </c>
      <c r="E687" t="s">
        <v>98</v>
      </c>
      <c r="F687" t="s">
        <v>68</v>
      </c>
      <c r="G687" t="s">
        <v>69</v>
      </c>
      <c r="H687" t="s">
        <v>109</v>
      </c>
      <c r="I687" t="s">
        <v>31</v>
      </c>
      <c r="J687">
        <v>93483</v>
      </c>
      <c r="K687">
        <v>2</v>
      </c>
      <c r="L687">
        <v>-772.75</v>
      </c>
      <c r="M687" t="s">
        <v>22</v>
      </c>
      <c r="N687" t="s">
        <v>32</v>
      </c>
    </row>
    <row r="688" spans="1:14">
      <c r="A688" t="s">
        <v>829</v>
      </c>
      <c r="B688" s="1">
        <v>45219</v>
      </c>
      <c r="C688" t="s">
        <v>113</v>
      </c>
      <c r="D688" t="s">
        <v>114</v>
      </c>
      <c r="E688" t="s">
        <v>84</v>
      </c>
      <c r="F688" t="s">
        <v>85</v>
      </c>
      <c r="G688" t="s">
        <v>69</v>
      </c>
      <c r="H688" t="s">
        <v>164</v>
      </c>
      <c r="I688" t="s">
        <v>39</v>
      </c>
      <c r="J688">
        <v>2548.3000000000002</v>
      </c>
      <c r="K688">
        <v>2</v>
      </c>
      <c r="L688">
        <v>382.73</v>
      </c>
      <c r="M688" t="s">
        <v>90</v>
      </c>
      <c r="N688" t="s">
        <v>32</v>
      </c>
    </row>
    <row r="689" spans="1:14">
      <c r="A689" t="s">
        <v>830</v>
      </c>
      <c r="B689" s="1">
        <v>45285</v>
      </c>
      <c r="C689" t="s">
        <v>220</v>
      </c>
      <c r="D689" t="s">
        <v>221</v>
      </c>
      <c r="E689" t="s">
        <v>157</v>
      </c>
      <c r="F689" t="s">
        <v>158</v>
      </c>
      <c r="G689" t="s">
        <v>29</v>
      </c>
      <c r="H689" t="s">
        <v>99</v>
      </c>
      <c r="I689" t="s">
        <v>21</v>
      </c>
      <c r="J689">
        <v>1917.6</v>
      </c>
      <c r="K689">
        <v>3</v>
      </c>
      <c r="L689">
        <v>390.45</v>
      </c>
      <c r="M689" t="s">
        <v>63</v>
      </c>
      <c r="N689" t="s">
        <v>32</v>
      </c>
    </row>
    <row r="690" spans="1:14">
      <c r="A690" t="s">
        <v>831</v>
      </c>
      <c r="B690" s="1">
        <v>45048</v>
      </c>
      <c r="C690" t="s">
        <v>43</v>
      </c>
      <c r="D690" t="s">
        <v>44</v>
      </c>
      <c r="E690" t="s">
        <v>157</v>
      </c>
      <c r="F690" t="s">
        <v>158</v>
      </c>
      <c r="G690" t="s">
        <v>29</v>
      </c>
      <c r="H690" t="s">
        <v>177</v>
      </c>
      <c r="I690" t="s">
        <v>93</v>
      </c>
      <c r="J690">
        <v>4272.1499999999996</v>
      </c>
      <c r="K690">
        <v>3</v>
      </c>
      <c r="L690">
        <v>971.36</v>
      </c>
      <c r="M690" t="s">
        <v>22</v>
      </c>
      <c r="N690" t="s">
        <v>32</v>
      </c>
    </row>
    <row r="691" spans="1:14">
      <c r="A691" t="s">
        <v>832</v>
      </c>
      <c r="B691" s="1">
        <v>45206</v>
      </c>
      <c r="C691" t="s">
        <v>122</v>
      </c>
      <c r="D691" t="s">
        <v>123</v>
      </c>
      <c r="E691" t="s">
        <v>157</v>
      </c>
      <c r="F691" t="s">
        <v>158</v>
      </c>
      <c r="G691" t="s">
        <v>29</v>
      </c>
      <c r="H691" t="s">
        <v>137</v>
      </c>
      <c r="I691" t="s">
        <v>93</v>
      </c>
      <c r="J691">
        <v>1432</v>
      </c>
      <c r="K691">
        <v>1</v>
      </c>
      <c r="L691">
        <v>121.5</v>
      </c>
      <c r="M691" t="s">
        <v>22</v>
      </c>
      <c r="N691" t="s">
        <v>32</v>
      </c>
    </row>
    <row r="692" spans="1:14">
      <c r="A692" t="s">
        <v>833</v>
      </c>
      <c r="B692" s="1">
        <v>44988</v>
      </c>
      <c r="C692" t="s">
        <v>34</v>
      </c>
      <c r="D692" t="s">
        <v>35</v>
      </c>
      <c r="E692" t="s">
        <v>141</v>
      </c>
      <c r="F692" t="s">
        <v>142</v>
      </c>
      <c r="G692" t="s">
        <v>50</v>
      </c>
      <c r="H692" t="s">
        <v>215</v>
      </c>
      <c r="I692" t="s">
        <v>59</v>
      </c>
      <c r="J692">
        <v>11698.2</v>
      </c>
      <c r="K692">
        <v>2</v>
      </c>
      <c r="L692">
        <v>925.15</v>
      </c>
      <c r="M692" t="s">
        <v>22</v>
      </c>
      <c r="N692" t="s">
        <v>32</v>
      </c>
    </row>
    <row r="693" spans="1:14">
      <c r="A693" t="s">
        <v>834</v>
      </c>
      <c r="B693" s="1">
        <v>45086</v>
      </c>
      <c r="C693" t="s">
        <v>65</v>
      </c>
      <c r="D693" t="s">
        <v>66</v>
      </c>
      <c r="E693" t="s">
        <v>141</v>
      </c>
      <c r="F693" t="s">
        <v>142</v>
      </c>
      <c r="G693" t="s">
        <v>50</v>
      </c>
      <c r="H693" t="s">
        <v>184</v>
      </c>
      <c r="I693" t="s">
        <v>39</v>
      </c>
      <c r="J693">
        <v>840</v>
      </c>
      <c r="K693">
        <v>2</v>
      </c>
      <c r="L693">
        <v>192.5</v>
      </c>
      <c r="M693" t="s">
        <v>22</v>
      </c>
      <c r="N693" t="s">
        <v>32</v>
      </c>
    </row>
    <row r="694" spans="1:14">
      <c r="A694" t="s">
        <v>835</v>
      </c>
      <c r="B694" s="1">
        <v>45013</v>
      </c>
      <c r="C694" t="s">
        <v>81</v>
      </c>
      <c r="D694" t="s">
        <v>82</v>
      </c>
      <c r="E694" t="s">
        <v>27</v>
      </c>
      <c r="F694" t="s">
        <v>28</v>
      </c>
      <c r="G694" t="s">
        <v>29</v>
      </c>
      <c r="H694" t="s">
        <v>173</v>
      </c>
      <c r="I694" t="s">
        <v>59</v>
      </c>
      <c r="J694">
        <v>11607.3</v>
      </c>
      <c r="K694">
        <v>3</v>
      </c>
      <c r="L694">
        <v>1192.72</v>
      </c>
      <c r="M694" t="s">
        <v>63</v>
      </c>
      <c r="N694" t="s">
        <v>32</v>
      </c>
    </row>
    <row r="695" spans="1:14">
      <c r="A695" t="s">
        <v>836</v>
      </c>
      <c r="B695" s="1">
        <v>45048</v>
      </c>
      <c r="C695" t="s">
        <v>119</v>
      </c>
      <c r="D695" t="s">
        <v>120</v>
      </c>
      <c r="E695" t="s">
        <v>95</v>
      </c>
      <c r="F695" t="s">
        <v>96</v>
      </c>
      <c r="G695" t="s">
        <v>19</v>
      </c>
      <c r="H695" t="s">
        <v>189</v>
      </c>
      <c r="I695" t="s">
        <v>59</v>
      </c>
      <c r="J695">
        <v>1850</v>
      </c>
      <c r="K695">
        <v>1</v>
      </c>
      <c r="L695">
        <v>340</v>
      </c>
      <c r="M695" t="s">
        <v>22</v>
      </c>
      <c r="N695" t="s">
        <v>32</v>
      </c>
    </row>
    <row r="696" spans="1:14">
      <c r="A696" t="s">
        <v>837</v>
      </c>
      <c r="B696" s="1">
        <v>45221</v>
      </c>
      <c r="C696" t="s">
        <v>15</v>
      </c>
      <c r="D696" t="s">
        <v>16</v>
      </c>
      <c r="E696" t="s">
        <v>141</v>
      </c>
      <c r="F696" t="s">
        <v>142</v>
      </c>
      <c r="G696" t="s">
        <v>50</v>
      </c>
      <c r="H696" t="s">
        <v>184</v>
      </c>
      <c r="I696" t="s">
        <v>39</v>
      </c>
      <c r="J696">
        <v>1496.25</v>
      </c>
      <c r="K696">
        <v>3</v>
      </c>
      <c r="L696">
        <v>465.94</v>
      </c>
      <c r="M696" t="s">
        <v>22</v>
      </c>
      <c r="N696" t="s">
        <v>130</v>
      </c>
    </row>
    <row r="697" spans="1:14">
      <c r="A697" t="s">
        <v>838</v>
      </c>
      <c r="B697" s="1">
        <v>44944</v>
      </c>
      <c r="C697" t="s">
        <v>47</v>
      </c>
      <c r="D697" t="s">
        <v>48</v>
      </c>
      <c r="E697" t="s">
        <v>124</v>
      </c>
      <c r="F697" t="s">
        <v>125</v>
      </c>
      <c r="G697" t="s">
        <v>50</v>
      </c>
      <c r="H697" t="s">
        <v>143</v>
      </c>
      <c r="I697" t="s">
        <v>59</v>
      </c>
      <c r="J697">
        <v>3199</v>
      </c>
      <c r="K697">
        <v>1</v>
      </c>
      <c r="L697">
        <v>550</v>
      </c>
      <c r="M697" t="s">
        <v>22</v>
      </c>
      <c r="N697" t="s">
        <v>32</v>
      </c>
    </row>
    <row r="698" spans="1:14">
      <c r="A698" t="s">
        <v>839</v>
      </c>
      <c r="B698" s="1">
        <v>45041</v>
      </c>
      <c r="C698" t="s">
        <v>25</v>
      </c>
      <c r="D698" t="s">
        <v>26</v>
      </c>
      <c r="E698" t="s">
        <v>36</v>
      </c>
      <c r="F698" t="s">
        <v>37</v>
      </c>
      <c r="G698" t="s">
        <v>19</v>
      </c>
      <c r="H698" t="s">
        <v>147</v>
      </c>
      <c r="I698" t="s">
        <v>93</v>
      </c>
      <c r="J698">
        <v>3998</v>
      </c>
      <c r="K698">
        <v>2</v>
      </c>
      <c r="L698">
        <v>1040</v>
      </c>
      <c r="M698" t="s">
        <v>22</v>
      </c>
      <c r="N698" t="s">
        <v>32</v>
      </c>
    </row>
    <row r="699" spans="1:14">
      <c r="A699" t="s">
        <v>840</v>
      </c>
      <c r="B699" s="1">
        <v>45046</v>
      </c>
      <c r="C699" t="s">
        <v>61</v>
      </c>
      <c r="D699" t="s">
        <v>62</v>
      </c>
      <c r="E699" t="s">
        <v>103</v>
      </c>
      <c r="F699" t="s">
        <v>104</v>
      </c>
      <c r="G699" t="s">
        <v>19</v>
      </c>
      <c r="H699" t="s">
        <v>128</v>
      </c>
      <c r="I699" t="s">
        <v>31</v>
      </c>
      <c r="J699">
        <v>2990</v>
      </c>
      <c r="K699">
        <v>2</v>
      </c>
      <c r="L699">
        <v>700</v>
      </c>
      <c r="M699" t="s">
        <v>63</v>
      </c>
      <c r="N699" t="s">
        <v>32</v>
      </c>
    </row>
    <row r="700" spans="1:14">
      <c r="A700" t="s">
        <v>841</v>
      </c>
      <c r="B700" s="1">
        <v>45054</v>
      </c>
      <c r="C700" t="s">
        <v>72</v>
      </c>
      <c r="D700" t="s">
        <v>73</v>
      </c>
      <c r="E700" t="s">
        <v>95</v>
      </c>
      <c r="F700" t="s">
        <v>96</v>
      </c>
      <c r="G700" t="s">
        <v>19</v>
      </c>
      <c r="H700" t="s">
        <v>45</v>
      </c>
      <c r="I700" t="s">
        <v>21</v>
      </c>
      <c r="J700">
        <v>1169.0999999999999</v>
      </c>
      <c r="K700">
        <v>1</v>
      </c>
      <c r="L700">
        <v>222.57</v>
      </c>
      <c r="M700" t="s">
        <v>63</v>
      </c>
      <c r="N700" t="s">
        <v>32</v>
      </c>
    </row>
    <row r="701" spans="1:14">
      <c r="A701" t="s">
        <v>842</v>
      </c>
      <c r="B701" s="1">
        <v>45001</v>
      </c>
      <c r="C701" t="s">
        <v>227</v>
      </c>
      <c r="D701" t="s">
        <v>228</v>
      </c>
      <c r="E701" t="s">
        <v>36</v>
      </c>
      <c r="F701" t="s">
        <v>37</v>
      </c>
      <c r="G701" t="s">
        <v>19</v>
      </c>
      <c r="H701" t="s">
        <v>184</v>
      </c>
      <c r="I701" t="s">
        <v>39</v>
      </c>
      <c r="J701">
        <v>840</v>
      </c>
      <c r="K701">
        <v>2</v>
      </c>
      <c r="L701">
        <v>192.5</v>
      </c>
      <c r="M701" t="s">
        <v>22</v>
      </c>
      <c r="N701" t="s">
        <v>130</v>
      </c>
    </row>
    <row r="702" spans="1:14">
      <c r="A702" t="s">
        <v>843</v>
      </c>
      <c r="B702" s="1">
        <v>45250</v>
      </c>
      <c r="C702" t="s">
        <v>81</v>
      </c>
      <c r="D702" t="s">
        <v>82</v>
      </c>
      <c r="E702" t="s">
        <v>95</v>
      </c>
      <c r="F702" t="s">
        <v>96</v>
      </c>
      <c r="G702" t="s">
        <v>19</v>
      </c>
      <c r="H702" t="s">
        <v>147</v>
      </c>
      <c r="I702" t="s">
        <v>93</v>
      </c>
      <c r="J702">
        <v>6396.8</v>
      </c>
      <c r="K702">
        <v>4</v>
      </c>
      <c r="L702">
        <v>880.6</v>
      </c>
      <c r="M702" t="s">
        <v>22</v>
      </c>
      <c r="N702" t="s">
        <v>41</v>
      </c>
    </row>
    <row r="703" spans="1:14">
      <c r="A703" t="s">
        <v>844</v>
      </c>
      <c r="B703" s="1">
        <v>45070</v>
      </c>
      <c r="C703" t="s">
        <v>54</v>
      </c>
      <c r="D703" t="s">
        <v>55</v>
      </c>
      <c r="E703" t="s">
        <v>27</v>
      </c>
      <c r="F703" t="s">
        <v>28</v>
      </c>
      <c r="G703" t="s">
        <v>29</v>
      </c>
      <c r="H703" t="s">
        <v>128</v>
      </c>
      <c r="I703" t="s">
        <v>31</v>
      </c>
      <c r="J703">
        <v>1495</v>
      </c>
      <c r="K703">
        <v>1</v>
      </c>
      <c r="L703">
        <v>350</v>
      </c>
      <c r="M703" t="s">
        <v>63</v>
      </c>
      <c r="N703" t="s">
        <v>32</v>
      </c>
    </row>
    <row r="704" spans="1:14">
      <c r="A704" t="s">
        <v>845</v>
      </c>
      <c r="B704" s="1">
        <v>45189</v>
      </c>
      <c r="C704" t="s">
        <v>72</v>
      </c>
      <c r="D704" t="s">
        <v>73</v>
      </c>
      <c r="E704" t="s">
        <v>157</v>
      </c>
      <c r="F704" t="s">
        <v>158</v>
      </c>
      <c r="G704" t="s">
        <v>29</v>
      </c>
      <c r="H704" t="s">
        <v>147</v>
      </c>
      <c r="I704" t="s">
        <v>93</v>
      </c>
      <c r="J704">
        <v>3598.2</v>
      </c>
      <c r="K704">
        <v>2</v>
      </c>
      <c r="L704">
        <v>740.15</v>
      </c>
      <c r="M704" t="s">
        <v>22</v>
      </c>
      <c r="N704" t="s">
        <v>32</v>
      </c>
    </row>
    <row r="705" spans="1:14">
      <c r="A705" t="s">
        <v>846</v>
      </c>
      <c r="B705" s="1">
        <v>45071</v>
      </c>
      <c r="C705" t="s">
        <v>149</v>
      </c>
      <c r="D705" t="s">
        <v>150</v>
      </c>
      <c r="E705" t="s">
        <v>67</v>
      </c>
      <c r="F705" t="s">
        <v>68</v>
      </c>
      <c r="G705" t="s">
        <v>69</v>
      </c>
      <c r="H705" t="s">
        <v>215</v>
      </c>
      <c r="I705" t="s">
        <v>59</v>
      </c>
      <c r="J705">
        <v>25996</v>
      </c>
      <c r="K705">
        <v>4</v>
      </c>
      <c r="L705">
        <v>3800</v>
      </c>
      <c r="M705" t="s">
        <v>90</v>
      </c>
      <c r="N705" t="s">
        <v>32</v>
      </c>
    </row>
    <row r="706" spans="1:14">
      <c r="A706" t="s">
        <v>847</v>
      </c>
      <c r="B706" s="1">
        <v>45108</v>
      </c>
      <c r="C706" t="s">
        <v>34</v>
      </c>
      <c r="D706" t="s">
        <v>35</v>
      </c>
      <c r="E706" t="s">
        <v>84</v>
      </c>
      <c r="F706" t="s">
        <v>85</v>
      </c>
      <c r="G706" t="s">
        <v>69</v>
      </c>
      <c r="H706" t="s">
        <v>115</v>
      </c>
      <c r="I706" t="s">
        <v>93</v>
      </c>
      <c r="J706">
        <v>959.2</v>
      </c>
      <c r="K706">
        <v>1</v>
      </c>
      <c r="L706">
        <v>110.15</v>
      </c>
      <c r="M706" t="s">
        <v>40</v>
      </c>
      <c r="N706" t="s">
        <v>32</v>
      </c>
    </row>
    <row r="707" spans="1:14">
      <c r="A707" t="s">
        <v>848</v>
      </c>
      <c r="B707" s="1">
        <v>45164</v>
      </c>
      <c r="C707" t="s">
        <v>65</v>
      </c>
      <c r="D707" t="s">
        <v>66</v>
      </c>
      <c r="E707" t="s">
        <v>36</v>
      </c>
      <c r="F707" t="s">
        <v>37</v>
      </c>
      <c r="G707" t="s">
        <v>19</v>
      </c>
      <c r="H707" t="s">
        <v>70</v>
      </c>
      <c r="I707" t="s">
        <v>39</v>
      </c>
      <c r="J707">
        <v>2808</v>
      </c>
      <c r="K707">
        <v>4</v>
      </c>
      <c r="L707">
        <v>726</v>
      </c>
      <c r="M707" t="s">
        <v>22</v>
      </c>
      <c r="N707" t="s">
        <v>32</v>
      </c>
    </row>
    <row r="708" spans="1:14">
      <c r="A708" t="s">
        <v>849</v>
      </c>
      <c r="B708" s="1">
        <v>44990</v>
      </c>
      <c r="C708" t="s">
        <v>15</v>
      </c>
      <c r="D708" t="s">
        <v>16</v>
      </c>
      <c r="E708" t="s">
        <v>141</v>
      </c>
      <c r="F708" t="s">
        <v>142</v>
      </c>
      <c r="G708" t="s">
        <v>50</v>
      </c>
      <c r="H708" t="s">
        <v>173</v>
      </c>
      <c r="I708" t="s">
        <v>59</v>
      </c>
      <c r="J708">
        <v>16336.2</v>
      </c>
      <c r="K708">
        <v>4</v>
      </c>
      <c r="L708">
        <v>2235.15</v>
      </c>
      <c r="M708" t="s">
        <v>90</v>
      </c>
      <c r="N708" t="s">
        <v>32</v>
      </c>
    </row>
    <row r="709" spans="1:14">
      <c r="A709" t="s">
        <v>850</v>
      </c>
      <c r="B709" s="1">
        <v>45009</v>
      </c>
      <c r="C709" t="s">
        <v>275</v>
      </c>
      <c r="D709" t="s">
        <v>276</v>
      </c>
      <c r="E709" t="s">
        <v>17</v>
      </c>
      <c r="F709" t="s">
        <v>18</v>
      </c>
      <c r="G709" t="s">
        <v>19</v>
      </c>
      <c r="H709" t="s">
        <v>173</v>
      </c>
      <c r="I709" t="s">
        <v>59</v>
      </c>
      <c r="J709">
        <v>11607.3</v>
      </c>
      <c r="K709">
        <v>3</v>
      </c>
      <c r="L709">
        <v>1192.72</v>
      </c>
      <c r="M709" t="s">
        <v>63</v>
      </c>
      <c r="N709" t="s">
        <v>32</v>
      </c>
    </row>
    <row r="710" spans="1:14">
      <c r="A710" t="s">
        <v>851</v>
      </c>
      <c r="B710" s="1">
        <v>45278</v>
      </c>
      <c r="C710" t="s">
        <v>25</v>
      </c>
      <c r="D710" t="s">
        <v>26</v>
      </c>
      <c r="E710" t="s">
        <v>49</v>
      </c>
      <c r="F710" t="s">
        <v>49</v>
      </c>
      <c r="G710" t="s">
        <v>50</v>
      </c>
      <c r="H710" t="s">
        <v>111</v>
      </c>
      <c r="I710" t="s">
        <v>59</v>
      </c>
      <c r="J710">
        <v>719.2</v>
      </c>
      <c r="K710">
        <v>1</v>
      </c>
      <c r="L710">
        <v>-254.85</v>
      </c>
      <c r="M710" t="s">
        <v>22</v>
      </c>
      <c r="N710" t="s">
        <v>32</v>
      </c>
    </row>
    <row r="711" spans="1:14">
      <c r="A711" t="s">
        <v>852</v>
      </c>
      <c r="B711" s="1">
        <v>45227</v>
      </c>
      <c r="C711" t="s">
        <v>43</v>
      </c>
      <c r="D711" t="s">
        <v>44</v>
      </c>
      <c r="E711" t="s">
        <v>17</v>
      </c>
      <c r="F711" t="s">
        <v>18</v>
      </c>
      <c r="G711" t="s">
        <v>19</v>
      </c>
      <c r="H711" t="s">
        <v>115</v>
      </c>
      <c r="I711" t="s">
        <v>93</v>
      </c>
      <c r="J711">
        <v>2398</v>
      </c>
      <c r="K711">
        <v>2</v>
      </c>
      <c r="L711">
        <v>580</v>
      </c>
      <c r="M711" t="s">
        <v>22</v>
      </c>
      <c r="N711" t="s">
        <v>32</v>
      </c>
    </row>
    <row r="712" spans="1:14">
      <c r="A712" t="s">
        <v>853</v>
      </c>
      <c r="B712" s="1">
        <v>45062</v>
      </c>
      <c r="C712" t="s">
        <v>15</v>
      </c>
      <c r="D712" t="s">
        <v>16</v>
      </c>
      <c r="E712" t="s">
        <v>17</v>
      </c>
      <c r="F712" t="s">
        <v>18</v>
      </c>
      <c r="G712" t="s">
        <v>19</v>
      </c>
      <c r="H712" t="s">
        <v>109</v>
      </c>
      <c r="I712" t="s">
        <v>31</v>
      </c>
      <c r="J712">
        <v>156721.5</v>
      </c>
      <c r="K712">
        <v>3</v>
      </c>
      <c r="L712">
        <v>11213.62</v>
      </c>
      <c r="M712" t="s">
        <v>40</v>
      </c>
      <c r="N712" t="s">
        <v>32</v>
      </c>
    </row>
    <row r="713" spans="1:14">
      <c r="A713" t="s">
        <v>854</v>
      </c>
      <c r="B713" s="1">
        <v>44931</v>
      </c>
      <c r="C713" t="s">
        <v>220</v>
      </c>
      <c r="D713" t="s">
        <v>221</v>
      </c>
      <c r="E713" t="s">
        <v>135</v>
      </c>
      <c r="F713" t="s">
        <v>136</v>
      </c>
      <c r="G713" t="s">
        <v>69</v>
      </c>
      <c r="H713" t="s">
        <v>89</v>
      </c>
      <c r="I713" t="s">
        <v>21</v>
      </c>
      <c r="J713">
        <v>5397</v>
      </c>
      <c r="K713">
        <v>3</v>
      </c>
      <c r="L713">
        <v>-809.55</v>
      </c>
      <c r="M713" t="s">
        <v>63</v>
      </c>
      <c r="N713" t="s">
        <v>75</v>
      </c>
    </row>
    <row r="714" spans="1:14">
      <c r="A714" t="s">
        <v>855</v>
      </c>
      <c r="B714" s="1">
        <v>44980</v>
      </c>
      <c r="C714" t="s">
        <v>220</v>
      </c>
      <c r="D714" t="s">
        <v>221</v>
      </c>
      <c r="E714" t="s">
        <v>157</v>
      </c>
      <c r="F714" t="s">
        <v>158</v>
      </c>
      <c r="G714" t="s">
        <v>29</v>
      </c>
      <c r="H714" t="s">
        <v>184</v>
      </c>
      <c r="I714" t="s">
        <v>39</v>
      </c>
      <c r="J714">
        <v>1050</v>
      </c>
      <c r="K714">
        <v>2</v>
      </c>
      <c r="L714">
        <v>350</v>
      </c>
      <c r="M714" t="s">
        <v>63</v>
      </c>
      <c r="N714" t="s">
        <v>32</v>
      </c>
    </row>
    <row r="715" spans="1:14">
      <c r="A715" t="s">
        <v>856</v>
      </c>
      <c r="B715" s="1">
        <v>45063</v>
      </c>
      <c r="C715" t="s">
        <v>170</v>
      </c>
      <c r="D715" t="s">
        <v>171</v>
      </c>
      <c r="E715" t="s">
        <v>98</v>
      </c>
      <c r="F715" t="s">
        <v>68</v>
      </c>
      <c r="G715" t="s">
        <v>69</v>
      </c>
      <c r="H715" t="s">
        <v>206</v>
      </c>
      <c r="I715" t="s">
        <v>21</v>
      </c>
      <c r="J715">
        <v>259996</v>
      </c>
      <c r="K715">
        <v>4</v>
      </c>
      <c r="L715">
        <v>28800</v>
      </c>
      <c r="M715" t="s">
        <v>22</v>
      </c>
      <c r="N715" t="s">
        <v>32</v>
      </c>
    </row>
    <row r="716" spans="1:14">
      <c r="A716" t="s">
        <v>857</v>
      </c>
      <c r="B716" s="1">
        <v>44989</v>
      </c>
      <c r="C716" t="s">
        <v>119</v>
      </c>
      <c r="D716" t="s">
        <v>120</v>
      </c>
      <c r="E716" t="s">
        <v>84</v>
      </c>
      <c r="F716" t="s">
        <v>85</v>
      </c>
      <c r="G716" t="s">
        <v>69</v>
      </c>
      <c r="H716" t="s">
        <v>79</v>
      </c>
      <c r="I716" t="s">
        <v>31</v>
      </c>
      <c r="J716">
        <v>41990</v>
      </c>
      <c r="K716">
        <v>1</v>
      </c>
      <c r="L716">
        <v>4500</v>
      </c>
      <c r="M716" t="s">
        <v>22</v>
      </c>
      <c r="N716" t="s">
        <v>32</v>
      </c>
    </row>
    <row r="717" spans="1:14">
      <c r="A717" t="s">
        <v>858</v>
      </c>
      <c r="B717" s="1">
        <v>45061</v>
      </c>
      <c r="C717" t="s">
        <v>122</v>
      </c>
      <c r="D717" t="s">
        <v>123</v>
      </c>
      <c r="E717" t="s">
        <v>157</v>
      </c>
      <c r="F717" t="s">
        <v>158</v>
      </c>
      <c r="G717" t="s">
        <v>29</v>
      </c>
      <c r="H717" t="s">
        <v>92</v>
      </c>
      <c r="I717" t="s">
        <v>93</v>
      </c>
      <c r="J717">
        <v>2124.15</v>
      </c>
      <c r="K717">
        <v>1</v>
      </c>
      <c r="L717">
        <v>368.86</v>
      </c>
      <c r="M717" t="s">
        <v>40</v>
      </c>
      <c r="N717" t="s">
        <v>32</v>
      </c>
    </row>
    <row r="718" spans="1:14">
      <c r="A718" t="s">
        <v>859</v>
      </c>
      <c r="B718" s="1">
        <v>45149</v>
      </c>
      <c r="C718" t="s">
        <v>47</v>
      </c>
      <c r="D718" t="s">
        <v>48</v>
      </c>
      <c r="E718" t="s">
        <v>49</v>
      </c>
      <c r="F718" t="s">
        <v>49</v>
      </c>
      <c r="G718" t="s">
        <v>50</v>
      </c>
      <c r="H718" t="s">
        <v>173</v>
      </c>
      <c r="I718" t="s">
        <v>59</v>
      </c>
      <c r="J718">
        <v>4084.05</v>
      </c>
      <c r="K718">
        <v>1</v>
      </c>
      <c r="L718">
        <v>558.79</v>
      </c>
      <c r="M718" t="s">
        <v>22</v>
      </c>
      <c r="N718" t="s">
        <v>41</v>
      </c>
    </row>
    <row r="719" spans="1:14">
      <c r="A719" t="s">
        <v>860</v>
      </c>
      <c r="B719" s="1">
        <v>45013</v>
      </c>
      <c r="C719" t="s">
        <v>43</v>
      </c>
      <c r="D719" t="s">
        <v>44</v>
      </c>
      <c r="E719" t="s">
        <v>56</v>
      </c>
      <c r="F719" t="s">
        <v>57</v>
      </c>
      <c r="G719" t="s">
        <v>50</v>
      </c>
      <c r="H719" t="s">
        <v>137</v>
      </c>
      <c r="I719" t="s">
        <v>93</v>
      </c>
      <c r="J719">
        <v>3222</v>
      </c>
      <c r="K719">
        <v>2</v>
      </c>
      <c r="L719">
        <v>511.5</v>
      </c>
      <c r="M719" t="s">
        <v>22</v>
      </c>
      <c r="N719" t="s">
        <v>32</v>
      </c>
    </row>
    <row r="720" spans="1:14">
      <c r="A720" t="s">
        <v>861</v>
      </c>
      <c r="B720" s="1">
        <v>44958</v>
      </c>
      <c r="C720" t="s">
        <v>132</v>
      </c>
      <c r="D720" t="s">
        <v>133</v>
      </c>
      <c r="E720" t="s">
        <v>95</v>
      </c>
      <c r="F720" t="s">
        <v>96</v>
      </c>
      <c r="G720" t="s">
        <v>19</v>
      </c>
      <c r="H720" t="s">
        <v>105</v>
      </c>
      <c r="I720" t="s">
        <v>59</v>
      </c>
      <c r="J720">
        <v>24998</v>
      </c>
      <c r="K720">
        <v>2</v>
      </c>
      <c r="L720">
        <v>-2900</v>
      </c>
      <c r="M720" t="s">
        <v>22</v>
      </c>
      <c r="N720" t="s">
        <v>32</v>
      </c>
    </row>
    <row r="721" spans="1:14">
      <c r="A721" t="s">
        <v>862</v>
      </c>
      <c r="B721" s="1">
        <v>45018</v>
      </c>
      <c r="C721" t="s">
        <v>101</v>
      </c>
      <c r="D721" t="s">
        <v>102</v>
      </c>
      <c r="E721" t="s">
        <v>17</v>
      </c>
      <c r="F721" t="s">
        <v>18</v>
      </c>
      <c r="G721" t="s">
        <v>19</v>
      </c>
      <c r="H721" t="s">
        <v>92</v>
      </c>
      <c r="I721" t="s">
        <v>93</v>
      </c>
      <c r="J721">
        <v>4998</v>
      </c>
      <c r="K721">
        <v>2</v>
      </c>
      <c r="L721">
        <v>-749.7</v>
      </c>
      <c r="M721" t="s">
        <v>22</v>
      </c>
      <c r="N721" t="s">
        <v>75</v>
      </c>
    </row>
    <row r="722" spans="1:14">
      <c r="A722" t="s">
        <v>863</v>
      </c>
      <c r="B722" s="1">
        <v>44963</v>
      </c>
      <c r="C722" t="s">
        <v>54</v>
      </c>
      <c r="D722" t="s">
        <v>55</v>
      </c>
      <c r="E722" t="s">
        <v>56</v>
      </c>
      <c r="F722" t="s">
        <v>57</v>
      </c>
      <c r="G722" t="s">
        <v>50</v>
      </c>
      <c r="H722" t="s">
        <v>38</v>
      </c>
      <c r="I722" t="s">
        <v>39</v>
      </c>
      <c r="J722">
        <v>1896.2</v>
      </c>
      <c r="K722">
        <v>4</v>
      </c>
      <c r="L722">
        <v>565.15</v>
      </c>
      <c r="M722" t="s">
        <v>22</v>
      </c>
      <c r="N722" t="s">
        <v>32</v>
      </c>
    </row>
    <row r="723" spans="1:14">
      <c r="A723" t="s">
        <v>864</v>
      </c>
      <c r="B723" s="1">
        <v>45200</v>
      </c>
      <c r="C723" t="s">
        <v>43</v>
      </c>
      <c r="D723" t="s">
        <v>44</v>
      </c>
      <c r="E723" t="s">
        <v>124</v>
      </c>
      <c r="F723" t="s">
        <v>125</v>
      </c>
      <c r="G723" t="s">
        <v>50</v>
      </c>
      <c r="H723" t="s">
        <v>105</v>
      </c>
      <c r="I723" t="s">
        <v>59</v>
      </c>
      <c r="J723">
        <v>42496.6</v>
      </c>
      <c r="K723">
        <v>4</v>
      </c>
      <c r="L723">
        <v>-11424.55</v>
      </c>
      <c r="M723" t="s">
        <v>22</v>
      </c>
      <c r="N723" t="s">
        <v>32</v>
      </c>
    </row>
    <row r="724" spans="1:14">
      <c r="A724" t="s">
        <v>865</v>
      </c>
      <c r="B724" s="1">
        <v>45219</v>
      </c>
      <c r="C724" t="s">
        <v>54</v>
      </c>
      <c r="D724" t="s">
        <v>55</v>
      </c>
      <c r="E724" t="s">
        <v>103</v>
      </c>
      <c r="F724" t="s">
        <v>104</v>
      </c>
      <c r="G724" t="s">
        <v>19</v>
      </c>
      <c r="H724" t="s">
        <v>99</v>
      </c>
      <c r="I724" t="s">
        <v>21</v>
      </c>
      <c r="J724">
        <v>639.20000000000005</v>
      </c>
      <c r="K724">
        <v>1</v>
      </c>
      <c r="L724">
        <v>130.15</v>
      </c>
      <c r="M724" t="s">
        <v>40</v>
      </c>
      <c r="N724" t="s">
        <v>32</v>
      </c>
    </row>
    <row r="725" spans="1:14">
      <c r="A725" t="s">
        <v>866</v>
      </c>
      <c r="B725" s="1">
        <v>45141</v>
      </c>
      <c r="C725" t="s">
        <v>119</v>
      </c>
      <c r="D725" t="s">
        <v>120</v>
      </c>
      <c r="E725" t="s">
        <v>141</v>
      </c>
      <c r="F725" t="s">
        <v>142</v>
      </c>
      <c r="G725" t="s">
        <v>50</v>
      </c>
      <c r="H725" t="s">
        <v>89</v>
      </c>
      <c r="I725" t="s">
        <v>21</v>
      </c>
      <c r="J725">
        <v>3058.3</v>
      </c>
      <c r="K725">
        <v>2</v>
      </c>
      <c r="L725">
        <v>355.23</v>
      </c>
      <c r="M725" t="s">
        <v>90</v>
      </c>
      <c r="N725" t="s">
        <v>32</v>
      </c>
    </row>
    <row r="726" spans="1:14">
      <c r="A726" t="s">
        <v>867</v>
      </c>
      <c r="B726" s="1">
        <v>45125</v>
      </c>
      <c r="C726" t="s">
        <v>77</v>
      </c>
      <c r="D726" t="s">
        <v>78</v>
      </c>
      <c r="E726" t="s">
        <v>27</v>
      </c>
      <c r="F726" t="s">
        <v>28</v>
      </c>
      <c r="G726" t="s">
        <v>29</v>
      </c>
      <c r="H726" t="s">
        <v>89</v>
      </c>
      <c r="I726" t="s">
        <v>21</v>
      </c>
      <c r="J726">
        <v>7196</v>
      </c>
      <c r="K726">
        <v>4</v>
      </c>
      <c r="L726">
        <v>1520</v>
      </c>
      <c r="M726" t="s">
        <v>22</v>
      </c>
      <c r="N726" t="s">
        <v>32</v>
      </c>
    </row>
    <row r="727" spans="1:14">
      <c r="A727" t="s">
        <v>868</v>
      </c>
      <c r="B727" s="1">
        <v>45287</v>
      </c>
      <c r="C727" t="s">
        <v>275</v>
      </c>
      <c r="D727" t="s">
        <v>276</v>
      </c>
      <c r="E727" t="s">
        <v>49</v>
      </c>
      <c r="F727" t="s">
        <v>49</v>
      </c>
      <c r="G727" t="s">
        <v>50</v>
      </c>
      <c r="H727" t="s">
        <v>105</v>
      </c>
      <c r="I727" t="s">
        <v>59</v>
      </c>
      <c r="J727">
        <v>31872.45</v>
      </c>
      <c r="K727">
        <v>3</v>
      </c>
      <c r="L727">
        <v>-8568.41</v>
      </c>
      <c r="M727" t="s">
        <v>63</v>
      </c>
      <c r="N727" t="s">
        <v>32</v>
      </c>
    </row>
    <row r="728" spans="1:14">
      <c r="A728" t="s">
        <v>869</v>
      </c>
      <c r="B728" s="1">
        <v>45097</v>
      </c>
      <c r="C728" t="s">
        <v>113</v>
      </c>
      <c r="D728" t="s">
        <v>114</v>
      </c>
      <c r="E728" t="s">
        <v>67</v>
      </c>
      <c r="F728" t="s">
        <v>68</v>
      </c>
      <c r="G728" t="s">
        <v>69</v>
      </c>
      <c r="H728" t="s">
        <v>74</v>
      </c>
      <c r="I728" t="s">
        <v>31</v>
      </c>
      <c r="J728">
        <v>35091</v>
      </c>
      <c r="K728">
        <v>1</v>
      </c>
      <c r="L728">
        <v>1175.75</v>
      </c>
      <c r="M728" t="s">
        <v>52</v>
      </c>
      <c r="N728" t="s">
        <v>32</v>
      </c>
    </row>
    <row r="729" spans="1:14">
      <c r="A729" t="s">
        <v>870</v>
      </c>
      <c r="B729" s="1">
        <v>45091</v>
      </c>
      <c r="C729" t="s">
        <v>170</v>
      </c>
      <c r="D729" t="s">
        <v>171</v>
      </c>
      <c r="E729" t="s">
        <v>56</v>
      </c>
      <c r="F729" t="s">
        <v>57</v>
      </c>
      <c r="G729" t="s">
        <v>50</v>
      </c>
      <c r="H729" t="s">
        <v>154</v>
      </c>
      <c r="I729" t="s">
        <v>93</v>
      </c>
      <c r="J729">
        <v>3302.25</v>
      </c>
      <c r="K729">
        <v>3</v>
      </c>
      <c r="L729">
        <v>492.94</v>
      </c>
      <c r="M729" t="s">
        <v>22</v>
      </c>
      <c r="N729" t="s">
        <v>32</v>
      </c>
    </row>
    <row r="730" spans="1:14">
      <c r="A730" t="s">
        <v>871</v>
      </c>
      <c r="B730" s="1">
        <v>45037</v>
      </c>
      <c r="C730" t="s">
        <v>101</v>
      </c>
      <c r="D730" t="s">
        <v>102</v>
      </c>
      <c r="E730" t="s">
        <v>84</v>
      </c>
      <c r="F730" t="s">
        <v>85</v>
      </c>
      <c r="G730" t="s">
        <v>69</v>
      </c>
      <c r="H730" t="s">
        <v>173</v>
      </c>
      <c r="I730" t="s">
        <v>59</v>
      </c>
      <c r="J730">
        <v>10317.6</v>
      </c>
      <c r="K730">
        <v>3</v>
      </c>
      <c r="L730">
        <v>225.45</v>
      </c>
      <c r="M730" t="s">
        <v>22</v>
      </c>
      <c r="N730" t="s">
        <v>32</v>
      </c>
    </row>
    <row r="731" spans="1:14">
      <c r="A731" t="s">
        <v>872</v>
      </c>
      <c r="B731" s="1">
        <v>45241</v>
      </c>
      <c r="C731" t="s">
        <v>81</v>
      </c>
      <c r="D731" t="s">
        <v>82</v>
      </c>
      <c r="E731" t="s">
        <v>135</v>
      </c>
      <c r="F731" t="s">
        <v>136</v>
      </c>
      <c r="G731" t="s">
        <v>69</v>
      </c>
      <c r="H731" t="s">
        <v>70</v>
      </c>
      <c r="I731" t="s">
        <v>39</v>
      </c>
      <c r="J731">
        <v>624</v>
      </c>
      <c r="K731">
        <v>1</v>
      </c>
      <c r="L731">
        <v>123</v>
      </c>
      <c r="M731" t="s">
        <v>22</v>
      </c>
      <c r="N731" t="s">
        <v>130</v>
      </c>
    </row>
    <row r="732" spans="1:14">
      <c r="A732" t="s">
        <v>873</v>
      </c>
      <c r="B732" s="1">
        <v>45046</v>
      </c>
      <c r="C732" t="s">
        <v>202</v>
      </c>
      <c r="D732" t="s">
        <v>203</v>
      </c>
      <c r="E732" t="s">
        <v>124</v>
      </c>
      <c r="F732" t="s">
        <v>125</v>
      </c>
      <c r="G732" t="s">
        <v>50</v>
      </c>
      <c r="H732" t="s">
        <v>184</v>
      </c>
      <c r="I732" t="s">
        <v>39</v>
      </c>
      <c r="J732">
        <v>472.5</v>
      </c>
      <c r="K732">
        <v>1</v>
      </c>
      <c r="L732">
        <v>135.62</v>
      </c>
      <c r="M732" t="s">
        <v>52</v>
      </c>
      <c r="N732" t="s">
        <v>41</v>
      </c>
    </row>
    <row r="733" spans="1:14">
      <c r="A733" t="s">
        <v>874</v>
      </c>
      <c r="B733" s="1">
        <v>45114</v>
      </c>
      <c r="C733" t="s">
        <v>145</v>
      </c>
      <c r="D733" t="s">
        <v>146</v>
      </c>
      <c r="E733" t="s">
        <v>67</v>
      </c>
      <c r="F733" t="s">
        <v>68</v>
      </c>
      <c r="G733" t="s">
        <v>69</v>
      </c>
      <c r="H733" t="s">
        <v>137</v>
      </c>
      <c r="I733" t="s">
        <v>93</v>
      </c>
      <c r="J733">
        <v>7160</v>
      </c>
      <c r="K733">
        <v>4</v>
      </c>
      <c r="L733">
        <v>1560</v>
      </c>
      <c r="M733" t="s">
        <v>40</v>
      </c>
      <c r="N733" t="s">
        <v>32</v>
      </c>
    </row>
    <row r="734" spans="1:14">
      <c r="A734" t="s">
        <v>875</v>
      </c>
      <c r="B734" s="1">
        <v>45257</v>
      </c>
      <c r="C734" t="s">
        <v>149</v>
      </c>
      <c r="D734" t="s">
        <v>150</v>
      </c>
      <c r="E734" t="s">
        <v>67</v>
      </c>
      <c r="F734" t="s">
        <v>68</v>
      </c>
      <c r="G734" t="s">
        <v>69</v>
      </c>
      <c r="H734" t="s">
        <v>89</v>
      </c>
      <c r="I734" t="s">
        <v>21</v>
      </c>
      <c r="J734">
        <v>5127.1499999999996</v>
      </c>
      <c r="K734">
        <v>3</v>
      </c>
      <c r="L734">
        <v>937.61</v>
      </c>
      <c r="M734" t="s">
        <v>40</v>
      </c>
      <c r="N734" t="s">
        <v>41</v>
      </c>
    </row>
    <row r="735" spans="1:14">
      <c r="A735" t="s">
        <v>876</v>
      </c>
      <c r="B735" s="1">
        <v>45247</v>
      </c>
      <c r="C735" t="s">
        <v>61</v>
      </c>
      <c r="D735" t="s">
        <v>62</v>
      </c>
      <c r="E735" t="s">
        <v>124</v>
      </c>
      <c r="F735" t="s">
        <v>125</v>
      </c>
      <c r="G735" t="s">
        <v>50</v>
      </c>
      <c r="H735" t="s">
        <v>128</v>
      </c>
      <c r="I735" t="s">
        <v>31</v>
      </c>
      <c r="J735">
        <v>4485</v>
      </c>
      <c r="K735">
        <v>3</v>
      </c>
      <c r="L735">
        <v>1050</v>
      </c>
      <c r="M735" t="s">
        <v>22</v>
      </c>
      <c r="N735" t="s">
        <v>32</v>
      </c>
    </row>
    <row r="736" spans="1:14">
      <c r="A736" t="s">
        <v>877</v>
      </c>
      <c r="B736" s="1">
        <v>45150</v>
      </c>
      <c r="C736" t="s">
        <v>122</v>
      </c>
      <c r="D736" t="s">
        <v>123</v>
      </c>
      <c r="E736" t="s">
        <v>141</v>
      </c>
      <c r="F736" t="s">
        <v>142</v>
      </c>
      <c r="G736" t="s">
        <v>50</v>
      </c>
      <c r="H736" t="s">
        <v>111</v>
      </c>
      <c r="I736" t="s">
        <v>59</v>
      </c>
      <c r="J736">
        <v>3596</v>
      </c>
      <c r="K736">
        <v>4</v>
      </c>
      <c r="L736">
        <v>-480</v>
      </c>
      <c r="M736" t="s">
        <v>52</v>
      </c>
      <c r="N736" t="s">
        <v>32</v>
      </c>
    </row>
    <row r="737" spans="1:14">
      <c r="A737" t="s">
        <v>878</v>
      </c>
      <c r="B737" s="1">
        <v>45042</v>
      </c>
      <c r="C737" t="s">
        <v>47</v>
      </c>
      <c r="D737" t="s">
        <v>48</v>
      </c>
      <c r="E737" t="s">
        <v>17</v>
      </c>
      <c r="F737" t="s">
        <v>18</v>
      </c>
      <c r="G737" t="s">
        <v>19</v>
      </c>
      <c r="H737" t="s">
        <v>117</v>
      </c>
      <c r="I737" t="s">
        <v>93</v>
      </c>
      <c r="J737">
        <v>9196</v>
      </c>
      <c r="K737">
        <v>4</v>
      </c>
      <c r="L737">
        <v>-1379.4</v>
      </c>
      <c r="M737" t="s">
        <v>63</v>
      </c>
      <c r="N737" t="s">
        <v>75</v>
      </c>
    </row>
    <row r="738" spans="1:14">
      <c r="A738" t="s">
        <v>879</v>
      </c>
      <c r="B738" s="1">
        <v>45124</v>
      </c>
      <c r="C738" t="s">
        <v>170</v>
      </c>
      <c r="D738" t="s">
        <v>171</v>
      </c>
      <c r="E738" t="s">
        <v>103</v>
      </c>
      <c r="F738" t="s">
        <v>104</v>
      </c>
      <c r="G738" t="s">
        <v>19</v>
      </c>
      <c r="H738" t="s">
        <v>38</v>
      </c>
      <c r="I738" t="s">
        <v>39</v>
      </c>
      <c r="J738">
        <v>399.2</v>
      </c>
      <c r="K738">
        <v>1</v>
      </c>
      <c r="L738">
        <v>85.15</v>
      </c>
      <c r="M738" t="s">
        <v>22</v>
      </c>
      <c r="N738" t="s">
        <v>32</v>
      </c>
    </row>
    <row r="739" spans="1:14">
      <c r="A739" t="s">
        <v>880</v>
      </c>
      <c r="B739" s="1">
        <v>45027</v>
      </c>
      <c r="C739" t="s">
        <v>122</v>
      </c>
      <c r="D739" t="s">
        <v>123</v>
      </c>
      <c r="E739" t="s">
        <v>84</v>
      </c>
      <c r="F739" t="s">
        <v>85</v>
      </c>
      <c r="G739" t="s">
        <v>69</v>
      </c>
      <c r="H739" t="s">
        <v>137</v>
      </c>
      <c r="I739" t="s">
        <v>93</v>
      </c>
      <c r="J739">
        <v>1700.5</v>
      </c>
      <c r="K739">
        <v>1</v>
      </c>
      <c r="L739">
        <v>322.88</v>
      </c>
      <c r="M739" t="s">
        <v>90</v>
      </c>
      <c r="N739" t="s">
        <v>32</v>
      </c>
    </row>
    <row r="740" spans="1:14">
      <c r="A740" t="s">
        <v>881</v>
      </c>
      <c r="B740" s="1">
        <v>44995</v>
      </c>
      <c r="C740" t="s">
        <v>25</v>
      </c>
      <c r="D740" t="s">
        <v>26</v>
      </c>
      <c r="E740" t="s">
        <v>36</v>
      </c>
      <c r="F740" t="s">
        <v>37</v>
      </c>
      <c r="G740" t="s">
        <v>19</v>
      </c>
      <c r="H740" t="s">
        <v>128</v>
      </c>
      <c r="I740" t="s">
        <v>31</v>
      </c>
      <c r="J740">
        <v>3588</v>
      </c>
      <c r="K740">
        <v>3</v>
      </c>
      <c r="L740">
        <v>377.25</v>
      </c>
      <c r="M740" t="s">
        <v>22</v>
      </c>
      <c r="N740" t="s">
        <v>32</v>
      </c>
    </row>
    <row r="741" spans="1:14">
      <c r="A741" t="s">
        <v>882</v>
      </c>
      <c r="B741" s="1">
        <v>45085</v>
      </c>
      <c r="C741" t="s">
        <v>175</v>
      </c>
      <c r="D741" t="s">
        <v>176</v>
      </c>
      <c r="E741" t="s">
        <v>56</v>
      </c>
      <c r="F741" t="s">
        <v>57</v>
      </c>
      <c r="G741" t="s">
        <v>50</v>
      </c>
      <c r="H741" t="s">
        <v>128</v>
      </c>
      <c r="I741" t="s">
        <v>31</v>
      </c>
      <c r="J741">
        <v>5382</v>
      </c>
      <c r="K741">
        <v>4</v>
      </c>
      <c r="L741">
        <v>951.5</v>
      </c>
      <c r="M741" t="s">
        <v>22</v>
      </c>
      <c r="N741" t="s">
        <v>130</v>
      </c>
    </row>
    <row r="742" spans="1:14">
      <c r="A742" t="s">
        <v>883</v>
      </c>
      <c r="B742" s="1">
        <v>45246</v>
      </c>
      <c r="C742" t="s">
        <v>175</v>
      </c>
      <c r="D742" t="s">
        <v>176</v>
      </c>
      <c r="E742" t="s">
        <v>135</v>
      </c>
      <c r="F742" t="s">
        <v>136</v>
      </c>
      <c r="G742" t="s">
        <v>69</v>
      </c>
      <c r="H742" t="s">
        <v>261</v>
      </c>
      <c r="I742" t="s">
        <v>21</v>
      </c>
      <c r="J742">
        <v>20899.05</v>
      </c>
      <c r="K742">
        <v>1</v>
      </c>
      <c r="L742">
        <v>1575.04</v>
      </c>
      <c r="M742" t="s">
        <v>63</v>
      </c>
      <c r="N742" t="s">
        <v>32</v>
      </c>
    </row>
    <row r="743" spans="1:14">
      <c r="A743" t="s">
        <v>884</v>
      </c>
      <c r="B743" s="1">
        <v>45191</v>
      </c>
      <c r="C743" t="s">
        <v>132</v>
      </c>
      <c r="D743" t="s">
        <v>133</v>
      </c>
      <c r="E743" t="s">
        <v>56</v>
      </c>
      <c r="F743" t="s">
        <v>57</v>
      </c>
      <c r="G743" t="s">
        <v>50</v>
      </c>
      <c r="H743" t="s">
        <v>38</v>
      </c>
      <c r="I743" t="s">
        <v>39</v>
      </c>
      <c r="J743">
        <v>499</v>
      </c>
      <c r="K743">
        <v>1</v>
      </c>
      <c r="L743">
        <v>160</v>
      </c>
      <c r="M743" t="s">
        <v>22</v>
      </c>
      <c r="N743" t="s">
        <v>32</v>
      </c>
    </row>
    <row r="744" spans="1:14">
      <c r="A744" t="s">
        <v>885</v>
      </c>
      <c r="B744" s="1">
        <v>45037</v>
      </c>
      <c r="C744" t="s">
        <v>132</v>
      </c>
      <c r="D744" t="s">
        <v>133</v>
      </c>
      <c r="E744" t="s">
        <v>98</v>
      </c>
      <c r="F744" t="s">
        <v>68</v>
      </c>
      <c r="G744" t="s">
        <v>69</v>
      </c>
      <c r="H744" t="s">
        <v>105</v>
      </c>
      <c r="I744" t="s">
        <v>59</v>
      </c>
      <c r="J744">
        <v>11874.05</v>
      </c>
      <c r="K744">
        <v>1</v>
      </c>
      <c r="L744">
        <v>-1918.71</v>
      </c>
      <c r="M744" t="s">
        <v>63</v>
      </c>
      <c r="N744" t="s">
        <v>32</v>
      </c>
    </row>
    <row r="745" spans="1:14">
      <c r="A745" t="s">
        <v>886</v>
      </c>
      <c r="B745" s="1">
        <v>45153</v>
      </c>
      <c r="C745" t="s">
        <v>77</v>
      </c>
      <c r="D745" t="s">
        <v>78</v>
      </c>
      <c r="E745" t="s">
        <v>36</v>
      </c>
      <c r="F745" t="s">
        <v>37</v>
      </c>
      <c r="G745" t="s">
        <v>19</v>
      </c>
      <c r="H745" t="s">
        <v>128</v>
      </c>
      <c r="I745" t="s">
        <v>31</v>
      </c>
      <c r="J745">
        <v>1495</v>
      </c>
      <c r="K745">
        <v>1</v>
      </c>
      <c r="L745">
        <v>350</v>
      </c>
      <c r="M745" t="s">
        <v>40</v>
      </c>
      <c r="N745" t="s">
        <v>32</v>
      </c>
    </row>
    <row r="746" spans="1:14">
      <c r="A746" t="s">
        <v>887</v>
      </c>
      <c r="B746" s="1">
        <v>45174</v>
      </c>
      <c r="C746" t="s">
        <v>227</v>
      </c>
      <c r="D746" t="s">
        <v>228</v>
      </c>
      <c r="E746" t="s">
        <v>84</v>
      </c>
      <c r="F746" t="s">
        <v>85</v>
      </c>
      <c r="G746" t="s">
        <v>69</v>
      </c>
      <c r="H746" t="s">
        <v>89</v>
      </c>
      <c r="I746" t="s">
        <v>21</v>
      </c>
      <c r="J746">
        <v>3598</v>
      </c>
      <c r="K746">
        <v>2</v>
      </c>
      <c r="L746">
        <v>760</v>
      </c>
      <c r="M746" t="s">
        <v>40</v>
      </c>
      <c r="N746" t="s">
        <v>41</v>
      </c>
    </row>
    <row r="747" spans="1:14">
      <c r="A747" t="s">
        <v>888</v>
      </c>
      <c r="B747" s="1">
        <v>45289</v>
      </c>
      <c r="C747" t="s">
        <v>160</v>
      </c>
      <c r="D747" t="s">
        <v>161</v>
      </c>
      <c r="E747" t="s">
        <v>87</v>
      </c>
      <c r="F747" t="s">
        <v>88</v>
      </c>
      <c r="G747" t="s">
        <v>29</v>
      </c>
      <c r="H747" t="s">
        <v>99</v>
      </c>
      <c r="I747" t="s">
        <v>21</v>
      </c>
      <c r="J747">
        <v>2277.15</v>
      </c>
      <c r="K747">
        <v>3</v>
      </c>
      <c r="L747">
        <v>660.11</v>
      </c>
      <c r="M747" t="s">
        <v>22</v>
      </c>
      <c r="N747" t="s">
        <v>32</v>
      </c>
    </row>
    <row r="748" spans="1:14">
      <c r="A748" t="s">
        <v>889</v>
      </c>
      <c r="B748" s="1">
        <v>45079</v>
      </c>
      <c r="C748" t="s">
        <v>170</v>
      </c>
      <c r="D748" t="s">
        <v>171</v>
      </c>
      <c r="E748" t="s">
        <v>103</v>
      </c>
      <c r="F748" t="s">
        <v>104</v>
      </c>
      <c r="G748" t="s">
        <v>19</v>
      </c>
      <c r="H748" t="s">
        <v>184</v>
      </c>
      <c r="I748" t="s">
        <v>39</v>
      </c>
      <c r="J748">
        <v>945</v>
      </c>
      <c r="K748">
        <v>2</v>
      </c>
      <c r="L748">
        <v>271.25</v>
      </c>
      <c r="M748" t="s">
        <v>40</v>
      </c>
      <c r="N748" t="s">
        <v>32</v>
      </c>
    </row>
    <row r="749" spans="1:14">
      <c r="A749" t="s">
        <v>890</v>
      </c>
      <c r="B749" s="1">
        <v>45003</v>
      </c>
      <c r="C749" t="s">
        <v>25</v>
      </c>
      <c r="D749" t="s">
        <v>26</v>
      </c>
      <c r="E749" t="s">
        <v>84</v>
      </c>
      <c r="F749" t="s">
        <v>85</v>
      </c>
      <c r="G749" t="s">
        <v>69</v>
      </c>
      <c r="H749" t="s">
        <v>79</v>
      </c>
      <c r="I749" t="s">
        <v>31</v>
      </c>
      <c r="J749">
        <v>167960</v>
      </c>
      <c r="K749">
        <v>4</v>
      </c>
      <c r="L749">
        <v>18000</v>
      </c>
      <c r="M749" t="s">
        <v>90</v>
      </c>
      <c r="N749" t="s">
        <v>32</v>
      </c>
    </row>
    <row r="750" spans="1:14">
      <c r="A750" t="s">
        <v>891</v>
      </c>
      <c r="B750" s="1">
        <v>45030</v>
      </c>
      <c r="C750" t="s">
        <v>119</v>
      </c>
      <c r="D750" t="s">
        <v>120</v>
      </c>
      <c r="E750" t="s">
        <v>124</v>
      </c>
      <c r="F750" t="s">
        <v>125</v>
      </c>
      <c r="G750" t="s">
        <v>50</v>
      </c>
      <c r="H750" t="s">
        <v>261</v>
      </c>
      <c r="I750" t="s">
        <v>21</v>
      </c>
      <c r="J750">
        <v>43998</v>
      </c>
      <c r="K750">
        <v>2</v>
      </c>
      <c r="L750">
        <v>4800</v>
      </c>
      <c r="M750" t="s">
        <v>22</v>
      </c>
      <c r="N750" t="s">
        <v>32</v>
      </c>
    </row>
    <row r="751" spans="1:14">
      <c r="A751" t="s">
        <v>892</v>
      </c>
      <c r="B751" s="1">
        <v>44959</v>
      </c>
      <c r="C751" t="s">
        <v>43</v>
      </c>
      <c r="D751" t="s">
        <v>44</v>
      </c>
      <c r="E751" t="s">
        <v>49</v>
      </c>
      <c r="F751" t="s">
        <v>49</v>
      </c>
      <c r="G751" t="s">
        <v>50</v>
      </c>
      <c r="H751" t="s">
        <v>230</v>
      </c>
      <c r="I751" t="s">
        <v>39</v>
      </c>
      <c r="J751">
        <v>1557.6</v>
      </c>
      <c r="K751">
        <v>3</v>
      </c>
      <c r="L751">
        <v>367.95</v>
      </c>
      <c r="M751" t="s">
        <v>40</v>
      </c>
      <c r="N751" t="s">
        <v>32</v>
      </c>
    </row>
    <row r="752" spans="1:14">
      <c r="A752" t="s">
        <v>893</v>
      </c>
      <c r="B752" s="1">
        <v>45223</v>
      </c>
      <c r="C752" t="s">
        <v>61</v>
      </c>
      <c r="D752" t="s">
        <v>62</v>
      </c>
      <c r="E752" t="s">
        <v>135</v>
      </c>
      <c r="F752" t="s">
        <v>136</v>
      </c>
      <c r="G752" t="s">
        <v>69</v>
      </c>
      <c r="H752" t="s">
        <v>105</v>
      </c>
      <c r="I752" t="s">
        <v>59</v>
      </c>
      <c r="J752">
        <v>37497</v>
      </c>
      <c r="K752">
        <v>3</v>
      </c>
      <c r="L752">
        <v>-4350</v>
      </c>
      <c r="M752" t="s">
        <v>63</v>
      </c>
      <c r="N752" t="s">
        <v>32</v>
      </c>
    </row>
    <row r="753" spans="1:14">
      <c r="A753" t="s">
        <v>894</v>
      </c>
      <c r="B753" s="1">
        <v>45049</v>
      </c>
      <c r="C753" t="s">
        <v>61</v>
      </c>
      <c r="D753" t="s">
        <v>62</v>
      </c>
      <c r="E753" t="s">
        <v>141</v>
      </c>
      <c r="F753" t="s">
        <v>142</v>
      </c>
      <c r="G753" t="s">
        <v>50</v>
      </c>
      <c r="H753" t="s">
        <v>230</v>
      </c>
      <c r="I753" t="s">
        <v>39</v>
      </c>
      <c r="J753">
        <v>1298</v>
      </c>
      <c r="K753">
        <v>2</v>
      </c>
      <c r="L753">
        <v>440</v>
      </c>
      <c r="M753" t="s">
        <v>22</v>
      </c>
      <c r="N753" t="s">
        <v>41</v>
      </c>
    </row>
    <row r="754" spans="1:14">
      <c r="A754" t="s">
        <v>895</v>
      </c>
      <c r="B754" s="1">
        <v>45163</v>
      </c>
      <c r="C754" t="s">
        <v>175</v>
      </c>
      <c r="D754" t="s">
        <v>176</v>
      </c>
      <c r="E754" t="s">
        <v>157</v>
      </c>
      <c r="F754" t="s">
        <v>158</v>
      </c>
      <c r="G754" t="s">
        <v>29</v>
      </c>
      <c r="H754" t="s">
        <v>92</v>
      </c>
      <c r="I754" t="s">
        <v>93</v>
      </c>
      <c r="J754">
        <v>2124.15</v>
      </c>
      <c r="K754">
        <v>1</v>
      </c>
      <c r="L754">
        <v>368.86</v>
      </c>
      <c r="M754" t="s">
        <v>22</v>
      </c>
      <c r="N754" t="s">
        <v>130</v>
      </c>
    </row>
    <row r="755" spans="1:14">
      <c r="A755" t="s">
        <v>896</v>
      </c>
      <c r="B755" s="1">
        <v>45132</v>
      </c>
      <c r="C755" t="s">
        <v>43</v>
      </c>
      <c r="D755" t="s">
        <v>44</v>
      </c>
      <c r="E755" t="s">
        <v>56</v>
      </c>
      <c r="F755" t="s">
        <v>57</v>
      </c>
      <c r="G755" t="s">
        <v>50</v>
      </c>
      <c r="H755" t="s">
        <v>51</v>
      </c>
      <c r="I755" t="s">
        <v>31</v>
      </c>
      <c r="J755">
        <v>17098.099999999999</v>
      </c>
      <c r="K755">
        <v>2</v>
      </c>
      <c r="L755">
        <v>1725.07</v>
      </c>
      <c r="M755" t="s">
        <v>40</v>
      </c>
      <c r="N755" t="s">
        <v>32</v>
      </c>
    </row>
    <row r="756" spans="1:14">
      <c r="A756" t="s">
        <v>897</v>
      </c>
      <c r="B756" s="1">
        <v>45007</v>
      </c>
      <c r="C756" t="s">
        <v>160</v>
      </c>
      <c r="D756" t="s">
        <v>161</v>
      </c>
      <c r="E756" t="s">
        <v>84</v>
      </c>
      <c r="F756" t="s">
        <v>85</v>
      </c>
      <c r="G756" t="s">
        <v>69</v>
      </c>
      <c r="H756" t="s">
        <v>261</v>
      </c>
      <c r="I756" t="s">
        <v>21</v>
      </c>
      <c r="J756">
        <v>65997</v>
      </c>
      <c r="K756">
        <v>3</v>
      </c>
      <c r="L756">
        <v>7200</v>
      </c>
      <c r="M756" t="s">
        <v>22</v>
      </c>
      <c r="N756" t="s">
        <v>32</v>
      </c>
    </row>
    <row r="757" spans="1:14">
      <c r="A757" t="s">
        <v>898</v>
      </c>
      <c r="B757" s="1">
        <v>45207</v>
      </c>
      <c r="C757" t="s">
        <v>77</v>
      </c>
      <c r="D757" t="s">
        <v>78</v>
      </c>
      <c r="E757" t="s">
        <v>56</v>
      </c>
      <c r="F757" t="s">
        <v>57</v>
      </c>
      <c r="G757" t="s">
        <v>50</v>
      </c>
      <c r="H757" t="s">
        <v>38</v>
      </c>
      <c r="I757" t="s">
        <v>39</v>
      </c>
      <c r="J757">
        <v>1896.2</v>
      </c>
      <c r="K757">
        <v>4</v>
      </c>
      <c r="L757">
        <v>565.15</v>
      </c>
      <c r="M757" t="s">
        <v>63</v>
      </c>
      <c r="N757" t="s">
        <v>32</v>
      </c>
    </row>
    <row r="758" spans="1:14">
      <c r="A758" t="s">
        <v>899</v>
      </c>
      <c r="B758" s="1">
        <v>45268</v>
      </c>
      <c r="C758" t="s">
        <v>227</v>
      </c>
      <c r="D758" t="s">
        <v>228</v>
      </c>
      <c r="E758" t="s">
        <v>49</v>
      </c>
      <c r="F758" t="s">
        <v>49</v>
      </c>
      <c r="G758" t="s">
        <v>50</v>
      </c>
      <c r="H758" t="s">
        <v>79</v>
      </c>
      <c r="I758" t="s">
        <v>31</v>
      </c>
      <c r="J758">
        <v>39890.5</v>
      </c>
      <c r="K758">
        <v>1</v>
      </c>
      <c r="L758">
        <v>2925.38</v>
      </c>
      <c r="M758" t="s">
        <v>63</v>
      </c>
      <c r="N758" t="s">
        <v>41</v>
      </c>
    </row>
    <row r="759" spans="1:14">
      <c r="A759" t="s">
        <v>900</v>
      </c>
      <c r="B759" s="1">
        <v>45237</v>
      </c>
      <c r="C759" t="s">
        <v>170</v>
      </c>
      <c r="D759" t="s">
        <v>171</v>
      </c>
      <c r="E759" t="s">
        <v>98</v>
      </c>
      <c r="F759" t="s">
        <v>68</v>
      </c>
      <c r="G759" t="s">
        <v>69</v>
      </c>
      <c r="H759" t="s">
        <v>79</v>
      </c>
      <c r="I759" t="s">
        <v>31</v>
      </c>
      <c r="J759">
        <v>119671.5</v>
      </c>
      <c r="K759">
        <v>3</v>
      </c>
      <c r="L759">
        <v>8776.1200000000008</v>
      </c>
      <c r="M759" t="s">
        <v>52</v>
      </c>
      <c r="N759" t="s">
        <v>32</v>
      </c>
    </row>
    <row r="760" spans="1:14">
      <c r="A760" t="s">
        <v>901</v>
      </c>
      <c r="B760" s="1">
        <v>45004</v>
      </c>
      <c r="C760" t="s">
        <v>34</v>
      </c>
      <c r="D760" t="s">
        <v>35</v>
      </c>
      <c r="E760" t="s">
        <v>27</v>
      </c>
      <c r="F760" t="s">
        <v>28</v>
      </c>
      <c r="G760" t="s">
        <v>29</v>
      </c>
      <c r="H760" t="s">
        <v>109</v>
      </c>
      <c r="I760" t="s">
        <v>31</v>
      </c>
      <c r="J760">
        <v>104481</v>
      </c>
      <c r="K760">
        <v>2</v>
      </c>
      <c r="L760">
        <v>7475.75</v>
      </c>
      <c r="M760" t="s">
        <v>40</v>
      </c>
      <c r="N760" t="s">
        <v>32</v>
      </c>
    </row>
    <row r="761" spans="1:14">
      <c r="A761" t="s">
        <v>902</v>
      </c>
      <c r="B761" s="1">
        <v>45243</v>
      </c>
      <c r="C761" t="s">
        <v>149</v>
      </c>
      <c r="D761" t="s">
        <v>150</v>
      </c>
      <c r="E761" t="s">
        <v>36</v>
      </c>
      <c r="F761" t="s">
        <v>37</v>
      </c>
      <c r="G761" t="s">
        <v>19</v>
      </c>
      <c r="H761" t="s">
        <v>117</v>
      </c>
      <c r="I761" t="s">
        <v>93</v>
      </c>
      <c r="J761">
        <v>4598</v>
      </c>
      <c r="K761">
        <v>2</v>
      </c>
      <c r="L761">
        <v>-360</v>
      </c>
      <c r="M761" t="s">
        <v>22</v>
      </c>
      <c r="N761" t="s">
        <v>32</v>
      </c>
    </row>
    <row r="762" spans="1:14">
      <c r="A762" t="s">
        <v>903</v>
      </c>
      <c r="B762" s="1">
        <v>45139</v>
      </c>
      <c r="C762" t="s">
        <v>275</v>
      </c>
      <c r="D762" t="s">
        <v>276</v>
      </c>
      <c r="E762" t="s">
        <v>157</v>
      </c>
      <c r="F762" t="s">
        <v>158</v>
      </c>
      <c r="G762" t="s">
        <v>29</v>
      </c>
      <c r="H762" t="s">
        <v>99</v>
      </c>
      <c r="I762" t="s">
        <v>21</v>
      </c>
      <c r="J762">
        <v>1438.2</v>
      </c>
      <c r="K762">
        <v>2</v>
      </c>
      <c r="L762">
        <v>380.15</v>
      </c>
      <c r="M762" t="s">
        <v>22</v>
      </c>
      <c r="N762" t="s">
        <v>32</v>
      </c>
    </row>
    <row r="763" spans="1:14">
      <c r="A763" t="s">
        <v>904</v>
      </c>
      <c r="B763" s="1">
        <v>44994</v>
      </c>
      <c r="C763" t="s">
        <v>54</v>
      </c>
      <c r="D763" t="s">
        <v>55</v>
      </c>
      <c r="E763" t="s">
        <v>17</v>
      </c>
      <c r="F763" t="s">
        <v>18</v>
      </c>
      <c r="G763" t="s">
        <v>19</v>
      </c>
      <c r="H763" t="s">
        <v>154</v>
      </c>
      <c r="I763" t="s">
        <v>93</v>
      </c>
      <c r="J763">
        <v>3690.75</v>
      </c>
      <c r="K763">
        <v>3</v>
      </c>
      <c r="L763">
        <v>784.31</v>
      </c>
      <c r="M763" t="s">
        <v>22</v>
      </c>
      <c r="N763" t="s">
        <v>32</v>
      </c>
    </row>
    <row r="764" spans="1:14">
      <c r="A764" t="s">
        <v>905</v>
      </c>
      <c r="B764" s="1">
        <v>45280</v>
      </c>
      <c r="C764" t="s">
        <v>170</v>
      </c>
      <c r="D764" t="s">
        <v>171</v>
      </c>
      <c r="E764" t="s">
        <v>56</v>
      </c>
      <c r="F764" t="s">
        <v>57</v>
      </c>
      <c r="G764" t="s">
        <v>50</v>
      </c>
      <c r="H764" t="s">
        <v>20</v>
      </c>
      <c r="I764" t="s">
        <v>21</v>
      </c>
      <c r="J764">
        <v>3597</v>
      </c>
      <c r="K764">
        <v>3</v>
      </c>
      <c r="L764">
        <v>0</v>
      </c>
      <c r="M764" t="s">
        <v>22</v>
      </c>
      <c r="N764" t="s">
        <v>23</v>
      </c>
    </row>
    <row r="765" spans="1:14">
      <c r="A765" t="s">
        <v>906</v>
      </c>
      <c r="B765" s="1">
        <v>45002</v>
      </c>
      <c r="C765" t="s">
        <v>25</v>
      </c>
      <c r="D765" t="s">
        <v>26</v>
      </c>
      <c r="E765" t="s">
        <v>124</v>
      </c>
      <c r="F765" t="s">
        <v>125</v>
      </c>
      <c r="G765" t="s">
        <v>50</v>
      </c>
      <c r="H765" t="s">
        <v>70</v>
      </c>
      <c r="I765" t="s">
        <v>39</v>
      </c>
      <c r="J765">
        <v>2496</v>
      </c>
      <c r="K765">
        <v>4</v>
      </c>
      <c r="L765">
        <v>492</v>
      </c>
      <c r="M765" t="s">
        <v>40</v>
      </c>
      <c r="N765" t="s">
        <v>32</v>
      </c>
    </row>
    <row r="766" spans="1:14">
      <c r="A766" t="s">
        <v>907</v>
      </c>
      <c r="B766" s="1">
        <v>45140</v>
      </c>
      <c r="C766" t="s">
        <v>160</v>
      </c>
      <c r="D766" t="s">
        <v>161</v>
      </c>
      <c r="E766" t="s">
        <v>98</v>
      </c>
      <c r="F766" t="s">
        <v>68</v>
      </c>
      <c r="G766" t="s">
        <v>69</v>
      </c>
      <c r="H766" t="s">
        <v>261</v>
      </c>
      <c r="I766" t="s">
        <v>21</v>
      </c>
      <c r="J766">
        <v>83596.2</v>
      </c>
      <c r="K766">
        <v>4</v>
      </c>
      <c r="L766">
        <v>6300.15</v>
      </c>
      <c r="M766" t="s">
        <v>22</v>
      </c>
      <c r="N766" t="s">
        <v>32</v>
      </c>
    </row>
    <row r="767" spans="1:14">
      <c r="A767" t="s">
        <v>908</v>
      </c>
      <c r="B767" s="1">
        <v>45034</v>
      </c>
      <c r="C767" t="s">
        <v>81</v>
      </c>
      <c r="D767" t="s">
        <v>82</v>
      </c>
      <c r="E767" t="s">
        <v>141</v>
      </c>
      <c r="F767" t="s">
        <v>142</v>
      </c>
      <c r="G767" t="s">
        <v>50</v>
      </c>
      <c r="H767" t="s">
        <v>143</v>
      </c>
      <c r="I767" t="s">
        <v>59</v>
      </c>
      <c r="J767">
        <v>10236.799999999999</v>
      </c>
      <c r="K767">
        <v>4</v>
      </c>
      <c r="L767">
        <v>280.60000000000002</v>
      </c>
      <c r="M767" t="s">
        <v>90</v>
      </c>
      <c r="N767" t="s">
        <v>32</v>
      </c>
    </row>
    <row r="768" spans="1:14">
      <c r="A768" t="s">
        <v>909</v>
      </c>
      <c r="B768" s="1">
        <v>44927</v>
      </c>
      <c r="C768" t="s">
        <v>15</v>
      </c>
      <c r="D768" t="s">
        <v>16</v>
      </c>
      <c r="E768" t="s">
        <v>84</v>
      </c>
      <c r="F768" t="s">
        <v>85</v>
      </c>
      <c r="G768" t="s">
        <v>69</v>
      </c>
      <c r="H768" t="s">
        <v>173</v>
      </c>
      <c r="I768" t="s">
        <v>59</v>
      </c>
      <c r="J768">
        <v>7738.2</v>
      </c>
      <c r="K768">
        <v>2</v>
      </c>
      <c r="L768">
        <v>795.15</v>
      </c>
      <c r="M768" t="s">
        <v>22</v>
      </c>
      <c r="N768" t="s">
        <v>32</v>
      </c>
    </row>
    <row r="769" spans="1:14">
      <c r="A769" t="s">
        <v>910</v>
      </c>
      <c r="B769" s="1">
        <v>45067</v>
      </c>
      <c r="C769" t="s">
        <v>132</v>
      </c>
      <c r="D769" t="s">
        <v>133</v>
      </c>
      <c r="E769" t="s">
        <v>157</v>
      </c>
      <c r="F769" t="s">
        <v>158</v>
      </c>
      <c r="G769" t="s">
        <v>29</v>
      </c>
      <c r="H769" t="s">
        <v>184</v>
      </c>
      <c r="I769" t="s">
        <v>39</v>
      </c>
      <c r="J769">
        <v>1575</v>
      </c>
      <c r="K769">
        <v>3</v>
      </c>
      <c r="L769">
        <v>525</v>
      </c>
      <c r="M769" t="s">
        <v>90</v>
      </c>
      <c r="N769" t="s">
        <v>32</v>
      </c>
    </row>
    <row r="770" spans="1:14">
      <c r="A770" t="s">
        <v>911</v>
      </c>
      <c r="B770" s="1">
        <v>45090</v>
      </c>
      <c r="C770" t="s">
        <v>160</v>
      </c>
      <c r="D770" t="s">
        <v>161</v>
      </c>
      <c r="E770" t="s">
        <v>124</v>
      </c>
      <c r="F770" t="s">
        <v>125</v>
      </c>
      <c r="G770" t="s">
        <v>50</v>
      </c>
      <c r="H770" t="s">
        <v>115</v>
      </c>
      <c r="I770" t="s">
        <v>93</v>
      </c>
      <c r="J770">
        <v>3057.45</v>
      </c>
      <c r="K770">
        <v>3</v>
      </c>
      <c r="L770">
        <v>465.34</v>
      </c>
      <c r="M770" t="s">
        <v>22</v>
      </c>
      <c r="N770" t="s">
        <v>32</v>
      </c>
    </row>
    <row r="771" spans="1:14">
      <c r="A771" t="s">
        <v>912</v>
      </c>
      <c r="B771" s="1">
        <v>45045</v>
      </c>
      <c r="C771" t="s">
        <v>170</v>
      </c>
      <c r="D771" t="s">
        <v>171</v>
      </c>
      <c r="E771" t="s">
        <v>49</v>
      </c>
      <c r="F771" t="s">
        <v>49</v>
      </c>
      <c r="G771" t="s">
        <v>50</v>
      </c>
      <c r="H771" t="s">
        <v>89</v>
      </c>
      <c r="I771" t="s">
        <v>21</v>
      </c>
      <c r="J771">
        <v>5397</v>
      </c>
      <c r="K771">
        <v>3</v>
      </c>
      <c r="L771">
        <v>1140</v>
      </c>
      <c r="M771" t="s">
        <v>90</v>
      </c>
      <c r="N771" t="s">
        <v>32</v>
      </c>
    </row>
    <row r="772" spans="1:14">
      <c r="A772" t="s">
        <v>913</v>
      </c>
      <c r="B772" s="1">
        <v>44989</v>
      </c>
      <c r="C772" t="s">
        <v>101</v>
      </c>
      <c r="D772" t="s">
        <v>102</v>
      </c>
      <c r="E772" t="s">
        <v>124</v>
      </c>
      <c r="F772" t="s">
        <v>125</v>
      </c>
      <c r="G772" t="s">
        <v>50</v>
      </c>
      <c r="H772" t="s">
        <v>38</v>
      </c>
      <c r="I772" t="s">
        <v>39</v>
      </c>
      <c r="J772">
        <v>848.3</v>
      </c>
      <c r="K772">
        <v>2</v>
      </c>
      <c r="L772">
        <v>207.73</v>
      </c>
      <c r="M772" t="s">
        <v>63</v>
      </c>
      <c r="N772" t="s">
        <v>32</v>
      </c>
    </row>
    <row r="773" spans="1:14">
      <c r="A773" t="s">
        <v>914</v>
      </c>
      <c r="B773" s="1">
        <v>45222</v>
      </c>
      <c r="C773" t="s">
        <v>65</v>
      </c>
      <c r="D773" t="s">
        <v>66</v>
      </c>
      <c r="E773" t="s">
        <v>103</v>
      </c>
      <c r="F773" t="s">
        <v>104</v>
      </c>
      <c r="G773" t="s">
        <v>19</v>
      </c>
      <c r="H773" t="s">
        <v>92</v>
      </c>
      <c r="I773" t="s">
        <v>93</v>
      </c>
      <c r="J773">
        <v>7497</v>
      </c>
      <c r="K773">
        <v>3</v>
      </c>
      <c r="L773">
        <v>1950</v>
      </c>
      <c r="M773" t="s">
        <v>63</v>
      </c>
      <c r="N773" t="s">
        <v>32</v>
      </c>
    </row>
    <row r="774" spans="1:14">
      <c r="A774" t="s">
        <v>915</v>
      </c>
      <c r="B774" s="1">
        <v>45261</v>
      </c>
      <c r="C774" t="s">
        <v>175</v>
      </c>
      <c r="D774" t="s">
        <v>176</v>
      </c>
      <c r="E774" t="s">
        <v>27</v>
      </c>
      <c r="F774" t="s">
        <v>28</v>
      </c>
      <c r="G774" t="s">
        <v>29</v>
      </c>
      <c r="H774" t="s">
        <v>79</v>
      </c>
      <c r="I774" t="s">
        <v>31</v>
      </c>
      <c r="J774">
        <v>35691.5</v>
      </c>
      <c r="K774">
        <v>1</v>
      </c>
      <c r="L774">
        <v>0</v>
      </c>
      <c r="M774" t="s">
        <v>40</v>
      </c>
      <c r="N774" t="s">
        <v>23</v>
      </c>
    </row>
    <row r="775" spans="1:14">
      <c r="A775" t="s">
        <v>916</v>
      </c>
      <c r="B775" s="1">
        <v>45231</v>
      </c>
      <c r="C775" t="s">
        <v>101</v>
      </c>
      <c r="D775" t="s">
        <v>102</v>
      </c>
      <c r="E775" t="s">
        <v>67</v>
      </c>
      <c r="F775" t="s">
        <v>68</v>
      </c>
      <c r="G775" t="s">
        <v>69</v>
      </c>
      <c r="H775" t="s">
        <v>115</v>
      </c>
      <c r="I775" t="s">
        <v>93</v>
      </c>
      <c r="J775">
        <v>1918.4</v>
      </c>
      <c r="K775">
        <v>2</v>
      </c>
      <c r="L775">
        <v>220.3</v>
      </c>
      <c r="M775" t="s">
        <v>90</v>
      </c>
      <c r="N775" t="s">
        <v>32</v>
      </c>
    </row>
    <row r="776" spans="1:14">
      <c r="A776" t="s">
        <v>917</v>
      </c>
      <c r="B776" s="1">
        <v>45265</v>
      </c>
      <c r="C776" t="s">
        <v>170</v>
      </c>
      <c r="D776" t="s">
        <v>171</v>
      </c>
      <c r="E776" t="s">
        <v>98</v>
      </c>
      <c r="F776" t="s">
        <v>68</v>
      </c>
      <c r="G776" t="s">
        <v>69</v>
      </c>
      <c r="H776" t="s">
        <v>111</v>
      </c>
      <c r="I776" t="s">
        <v>59</v>
      </c>
      <c r="J776">
        <v>1798</v>
      </c>
      <c r="K776">
        <v>2</v>
      </c>
      <c r="L776">
        <v>-269.7</v>
      </c>
      <c r="M776" t="s">
        <v>40</v>
      </c>
      <c r="N776" t="s">
        <v>75</v>
      </c>
    </row>
    <row r="777" spans="1:14">
      <c r="A777" t="s">
        <v>918</v>
      </c>
      <c r="B777" s="1">
        <v>45278</v>
      </c>
      <c r="C777" t="s">
        <v>72</v>
      </c>
      <c r="D777" t="s">
        <v>73</v>
      </c>
      <c r="E777" t="s">
        <v>67</v>
      </c>
      <c r="F777" t="s">
        <v>68</v>
      </c>
      <c r="G777" t="s">
        <v>69</v>
      </c>
      <c r="H777" t="s">
        <v>109</v>
      </c>
      <c r="I777" t="s">
        <v>31</v>
      </c>
      <c r="J777">
        <v>87984</v>
      </c>
      <c r="K777">
        <v>2</v>
      </c>
      <c r="L777">
        <v>0</v>
      </c>
      <c r="M777" t="s">
        <v>40</v>
      </c>
      <c r="N777" t="s">
        <v>23</v>
      </c>
    </row>
    <row r="778" spans="1:14">
      <c r="A778" t="s">
        <v>919</v>
      </c>
      <c r="B778" s="1">
        <v>45050</v>
      </c>
      <c r="C778" t="s">
        <v>227</v>
      </c>
      <c r="D778" t="s">
        <v>228</v>
      </c>
      <c r="E778" t="s">
        <v>17</v>
      </c>
      <c r="F778" t="s">
        <v>18</v>
      </c>
      <c r="G778" t="s">
        <v>19</v>
      </c>
      <c r="H778" t="s">
        <v>38</v>
      </c>
      <c r="I778" t="s">
        <v>39</v>
      </c>
      <c r="J778">
        <v>948.1</v>
      </c>
      <c r="K778">
        <v>2</v>
      </c>
      <c r="L778">
        <v>282.57</v>
      </c>
      <c r="M778" t="s">
        <v>52</v>
      </c>
      <c r="N778" t="s">
        <v>32</v>
      </c>
    </row>
    <row r="779" spans="1:14">
      <c r="A779" t="s">
        <v>920</v>
      </c>
      <c r="B779" s="1">
        <v>44967</v>
      </c>
      <c r="C779" t="s">
        <v>47</v>
      </c>
      <c r="D779" t="s">
        <v>48</v>
      </c>
      <c r="E779" t="s">
        <v>103</v>
      </c>
      <c r="F779" t="s">
        <v>104</v>
      </c>
      <c r="G779" t="s">
        <v>19</v>
      </c>
      <c r="H779" t="s">
        <v>173</v>
      </c>
      <c r="I779" t="s">
        <v>59</v>
      </c>
      <c r="J779">
        <v>4299</v>
      </c>
      <c r="K779">
        <v>1</v>
      </c>
      <c r="L779">
        <v>720</v>
      </c>
      <c r="M779" t="s">
        <v>22</v>
      </c>
      <c r="N779" t="s">
        <v>130</v>
      </c>
    </row>
    <row r="780" spans="1:14">
      <c r="A780" t="s">
        <v>921</v>
      </c>
      <c r="B780" s="1">
        <v>45048</v>
      </c>
      <c r="C780" t="s">
        <v>122</v>
      </c>
      <c r="D780" t="s">
        <v>123</v>
      </c>
      <c r="E780" t="s">
        <v>56</v>
      </c>
      <c r="F780" t="s">
        <v>57</v>
      </c>
      <c r="G780" t="s">
        <v>50</v>
      </c>
      <c r="H780" t="s">
        <v>173</v>
      </c>
      <c r="I780" t="s">
        <v>59</v>
      </c>
      <c r="J780">
        <v>14616.6</v>
      </c>
      <c r="K780">
        <v>4</v>
      </c>
      <c r="L780">
        <v>945.45</v>
      </c>
      <c r="M780" t="s">
        <v>22</v>
      </c>
      <c r="N780" t="s">
        <v>32</v>
      </c>
    </row>
    <row r="781" spans="1:14">
      <c r="A781" t="s">
        <v>922</v>
      </c>
      <c r="B781" s="1">
        <v>45242</v>
      </c>
      <c r="C781" t="s">
        <v>34</v>
      </c>
      <c r="D781" t="s">
        <v>35</v>
      </c>
      <c r="E781" t="s">
        <v>27</v>
      </c>
      <c r="F781" t="s">
        <v>28</v>
      </c>
      <c r="G781" t="s">
        <v>29</v>
      </c>
      <c r="H781" t="s">
        <v>38</v>
      </c>
      <c r="I781" t="s">
        <v>39</v>
      </c>
      <c r="J781">
        <v>399.2</v>
      </c>
      <c r="K781">
        <v>1</v>
      </c>
      <c r="L781">
        <v>85.15</v>
      </c>
      <c r="M781" t="s">
        <v>40</v>
      </c>
      <c r="N781" t="s">
        <v>32</v>
      </c>
    </row>
    <row r="782" spans="1:14">
      <c r="A782" t="s">
        <v>923</v>
      </c>
      <c r="B782" s="1">
        <v>45234</v>
      </c>
      <c r="C782" t="s">
        <v>65</v>
      </c>
      <c r="D782" t="s">
        <v>66</v>
      </c>
      <c r="E782" t="s">
        <v>157</v>
      </c>
      <c r="F782" t="s">
        <v>158</v>
      </c>
      <c r="G782" t="s">
        <v>29</v>
      </c>
      <c r="H782" t="s">
        <v>79</v>
      </c>
      <c r="I782" t="s">
        <v>31</v>
      </c>
      <c r="J782">
        <v>167960</v>
      </c>
      <c r="K782">
        <v>4</v>
      </c>
      <c r="L782">
        <v>0</v>
      </c>
      <c r="M782" t="s">
        <v>22</v>
      </c>
      <c r="N782" t="s">
        <v>23</v>
      </c>
    </row>
    <row r="783" spans="1:14">
      <c r="A783" t="s">
        <v>924</v>
      </c>
      <c r="B783" s="1">
        <v>45017</v>
      </c>
      <c r="C783" t="s">
        <v>119</v>
      </c>
      <c r="D783" t="s">
        <v>120</v>
      </c>
      <c r="E783" t="s">
        <v>141</v>
      </c>
      <c r="F783" t="s">
        <v>142</v>
      </c>
      <c r="G783" t="s">
        <v>50</v>
      </c>
      <c r="H783" t="s">
        <v>74</v>
      </c>
      <c r="I783" t="s">
        <v>31</v>
      </c>
      <c r="J783">
        <v>77980</v>
      </c>
      <c r="K783">
        <v>2</v>
      </c>
      <c r="L783">
        <v>8200</v>
      </c>
      <c r="M783" t="s">
        <v>22</v>
      </c>
      <c r="N783" t="s">
        <v>41</v>
      </c>
    </row>
    <row r="784" spans="1:14">
      <c r="A784" t="s">
        <v>925</v>
      </c>
      <c r="B784" s="1">
        <v>44935</v>
      </c>
      <c r="C784" t="s">
        <v>227</v>
      </c>
      <c r="D784" t="s">
        <v>228</v>
      </c>
      <c r="E784" t="s">
        <v>56</v>
      </c>
      <c r="F784" t="s">
        <v>57</v>
      </c>
      <c r="G784" t="s">
        <v>50</v>
      </c>
      <c r="H784" t="s">
        <v>164</v>
      </c>
      <c r="I784" t="s">
        <v>39</v>
      </c>
      <c r="J784">
        <v>2698.2</v>
      </c>
      <c r="K784">
        <v>2</v>
      </c>
      <c r="L784">
        <v>495.15</v>
      </c>
      <c r="M784" t="s">
        <v>22</v>
      </c>
      <c r="N784" t="s">
        <v>32</v>
      </c>
    </row>
    <row r="785" spans="1:14">
      <c r="A785" t="s">
        <v>926</v>
      </c>
      <c r="B785" s="1">
        <v>44955</v>
      </c>
      <c r="C785" t="s">
        <v>81</v>
      </c>
      <c r="D785" t="s">
        <v>82</v>
      </c>
      <c r="E785" t="s">
        <v>49</v>
      </c>
      <c r="F785" t="s">
        <v>49</v>
      </c>
      <c r="G785" t="s">
        <v>50</v>
      </c>
      <c r="H785" t="s">
        <v>184</v>
      </c>
      <c r="I785" t="s">
        <v>39</v>
      </c>
      <c r="J785">
        <v>997.5</v>
      </c>
      <c r="K785">
        <v>2</v>
      </c>
      <c r="L785">
        <v>310.62</v>
      </c>
      <c r="M785" t="s">
        <v>63</v>
      </c>
      <c r="N785" t="s">
        <v>41</v>
      </c>
    </row>
    <row r="786" spans="1:14">
      <c r="A786" t="s">
        <v>927</v>
      </c>
      <c r="B786" s="1">
        <v>45048</v>
      </c>
      <c r="C786" t="s">
        <v>149</v>
      </c>
      <c r="D786" t="s">
        <v>150</v>
      </c>
      <c r="E786" t="s">
        <v>141</v>
      </c>
      <c r="F786" t="s">
        <v>142</v>
      </c>
      <c r="G786" t="s">
        <v>50</v>
      </c>
      <c r="H786" t="s">
        <v>51</v>
      </c>
      <c r="I786" t="s">
        <v>31</v>
      </c>
      <c r="J786">
        <v>15298.3</v>
      </c>
      <c r="K786">
        <v>2</v>
      </c>
      <c r="L786">
        <v>375.23</v>
      </c>
      <c r="M786" t="s">
        <v>22</v>
      </c>
      <c r="N786" t="s">
        <v>32</v>
      </c>
    </row>
    <row r="787" spans="1:14">
      <c r="A787" t="s">
        <v>928</v>
      </c>
      <c r="B787" s="1">
        <v>45177</v>
      </c>
      <c r="C787" t="s">
        <v>149</v>
      </c>
      <c r="D787" t="s">
        <v>150</v>
      </c>
      <c r="E787" t="s">
        <v>103</v>
      </c>
      <c r="F787" t="s">
        <v>104</v>
      </c>
      <c r="G787" t="s">
        <v>19</v>
      </c>
      <c r="H787" t="s">
        <v>261</v>
      </c>
      <c r="I787" t="s">
        <v>21</v>
      </c>
      <c r="J787">
        <v>43998</v>
      </c>
      <c r="K787">
        <v>2</v>
      </c>
      <c r="L787">
        <v>4800</v>
      </c>
      <c r="M787" t="s">
        <v>52</v>
      </c>
      <c r="N787" t="s">
        <v>32</v>
      </c>
    </row>
    <row r="788" spans="1:14">
      <c r="A788" t="s">
        <v>929</v>
      </c>
      <c r="B788" s="1">
        <v>45042</v>
      </c>
      <c r="C788" t="s">
        <v>175</v>
      </c>
      <c r="D788" t="s">
        <v>176</v>
      </c>
      <c r="E788" t="s">
        <v>27</v>
      </c>
      <c r="F788" t="s">
        <v>28</v>
      </c>
      <c r="G788" t="s">
        <v>29</v>
      </c>
      <c r="H788" t="s">
        <v>137</v>
      </c>
      <c r="I788" t="s">
        <v>93</v>
      </c>
      <c r="J788">
        <v>4564.5</v>
      </c>
      <c r="K788">
        <v>3</v>
      </c>
      <c r="L788">
        <v>565.88</v>
      </c>
      <c r="M788" t="s">
        <v>63</v>
      </c>
      <c r="N788" t="s">
        <v>32</v>
      </c>
    </row>
    <row r="789" spans="1:14">
      <c r="A789" t="s">
        <v>930</v>
      </c>
      <c r="B789" s="1">
        <v>45240</v>
      </c>
      <c r="C789" t="s">
        <v>275</v>
      </c>
      <c r="D789" t="s">
        <v>276</v>
      </c>
      <c r="E789" t="s">
        <v>98</v>
      </c>
      <c r="F789" t="s">
        <v>68</v>
      </c>
      <c r="G789" t="s">
        <v>69</v>
      </c>
      <c r="H789" t="s">
        <v>20</v>
      </c>
      <c r="I789" t="s">
        <v>21</v>
      </c>
      <c r="J789">
        <v>1918.4</v>
      </c>
      <c r="K789">
        <v>2</v>
      </c>
      <c r="L789">
        <v>160.30000000000001</v>
      </c>
      <c r="M789" t="s">
        <v>22</v>
      </c>
      <c r="N789" t="s">
        <v>41</v>
      </c>
    </row>
    <row r="790" spans="1:14">
      <c r="A790" t="s">
        <v>931</v>
      </c>
      <c r="B790" s="1">
        <v>45152</v>
      </c>
      <c r="C790" t="s">
        <v>227</v>
      </c>
      <c r="D790" t="s">
        <v>228</v>
      </c>
      <c r="E790" t="s">
        <v>141</v>
      </c>
      <c r="F790" t="s">
        <v>142</v>
      </c>
      <c r="G790" t="s">
        <v>50</v>
      </c>
      <c r="H790" t="s">
        <v>184</v>
      </c>
      <c r="I790" t="s">
        <v>39</v>
      </c>
      <c r="J790">
        <v>525</v>
      </c>
      <c r="K790">
        <v>1</v>
      </c>
      <c r="L790">
        <v>175</v>
      </c>
      <c r="M790" t="s">
        <v>90</v>
      </c>
      <c r="N790" t="s">
        <v>32</v>
      </c>
    </row>
    <row r="791" spans="1:14">
      <c r="A791" t="s">
        <v>932</v>
      </c>
      <c r="B791" s="1">
        <v>45271</v>
      </c>
      <c r="C791" t="s">
        <v>122</v>
      </c>
      <c r="D791" t="s">
        <v>123</v>
      </c>
      <c r="E791" t="s">
        <v>103</v>
      </c>
      <c r="F791" t="s">
        <v>104</v>
      </c>
      <c r="G791" t="s">
        <v>19</v>
      </c>
      <c r="H791" t="s">
        <v>89</v>
      </c>
      <c r="I791" t="s">
        <v>21</v>
      </c>
      <c r="J791">
        <v>5397</v>
      </c>
      <c r="K791">
        <v>3</v>
      </c>
      <c r="L791">
        <v>1140</v>
      </c>
      <c r="M791" t="s">
        <v>22</v>
      </c>
      <c r="N791" t="s">
        <v>32</v>
      </c>
    </row>
    <row r="792" spans="1:14">
      <c r="A792" t="s">
        <v>933</v>
      </c>
      <c r="B792" s="1">
        <v>45291</v>
      </c>
      <c r="C792" t="s">
        <v>101</v>
      </c>
      <c r="D792" t="s">
        <v>102</v>
      </c>
      <c r="E792" t="s">
        <v>49</v>
      </c>
      <c r="F792" t="s">
        <v>49</v>
      </c>
      <c r="G792" t="s">
        <v>50</v>
      </c>
      <c r="H792" t="s">
        <v>99</v>
      </c>
      <c r="I792" t="s">
        <v>21</v>
      </c>
      <c r="J792">
        <v>639.20000000000005</v>
      </c>
      <c r="K792">
        <v>1</v>
      </c>
      <c r="L792">
        <v>130.15</v>
      </c>
      <c r="M792" t="s">
        <v>90</v>
      </c>
      <c r="N792" t="s">
        <v>32</v>
      </c>
    </row>
    <row r="793" spans="1:14">
      <c r="A793" t="s">
        <v>934</v>
      </c>
      <c r="B793" s="1">
        <v>45181</v>
      </c>
      <c r="C793" t="s">
        <v>47</v>
      </c>
      <c r="D793" t="s">
        <v>48</v>
      </c>
      <c r="E793" t="s">
        <v>67</v>
      </c>
      <c r="F793" t="s">
        <v>68</v>
      </c>
      <c r="G793" t="s">
        <v>69</v>
      </c>
      <c r="H793" t="s">
        <v>154</v>
      </c>
      <c r="I793" t="s">
        <v>93</v>
      </c>
      <c r="J793">
        <v>3885</v>
      </c>
      <c r="K793">
        <v>3</v>
      </c>
      <c r="L793">
        <v>930</v>
      </c>
      <c r="M793" t="s">
        <v>63</v>
      </c>
      <c r="N793" t="s">
        <v>130</v>
      </c>
    </row>
    <row r="794" spans="1:14">
      <c r="A794" t="s">
        <v>935</v>
      </c>
      <c r="B794" s="1">
        <v>45122</v>
      </c>
      <c r="C794" t="s">
        <v>170</v>
      </c>
      <c r="D794" t="s">
        <v>171</v>
      </c>
      <c r="E794" t="s">
        <v>157</v>
      </c>
      <c r="F794" t="s">
        <v>158</v>
      </c>
      <c r="G794" t="s">
        <v>29</v>
      </c>
      <c r="H794" t="s">
        <v>70</v>
      </c>
      <c r="I794" t="s">
        <v>39</v>
      </c>
      <c r="J794">
        <v>2340</v>
      </c>
      <c r="K794">
        <v>3</v>
      </c>
      <c r="L794">
        <v>720</v>
      </c>
      <c r="M794" t="s">
        <v>90</v>
      </c>
      <c r="N794" t="s">
        <v>32</v>
      </c>
    </row>
    <row r="795" spans="1:14">
      <c r="A795" t="s">
        <v>936</v>
      </c>
      <c r="B795" s="1">
        <v>45025</v>
      </c>
      <c r="C795" t="s">
        <v>275</v>
      </c>
      <c r="D795" t="s">
        <v>276</v>
      </c>
      <c r="E795" t="s">
        <v>84</v>
      </c>
      <c r="F795" t="s">
        <v>85</v>
      </c>
      <c r="G795" t="s">
        <v>69</v>
      </c>
      <c r="H795" t="s">
        <v>206</v>
      </c>
      <c r="I795" t="s">
        <v>21</v>
      </c>
      <c r="J795">
        <v>165747.45000000001</v>
      </c>
      <c r="K795">
        <v>3</v>
      </c>
      <c r="L795">
        <v>-337.16</v>
      </c>
      <c r="M795" t="s">
        <v>22</v>
      </c>
      <c r="N795" t="s">
        <v>32</v>
      </c>
    </row>
    <row r="796" spans="1:14">
      <c r="A796" t="s">
        <v>937</v>
      </c>
      <c r="B796" s="1">
        <v>45182</v>
      </c>
      <c r="C796" t="s">
        <v>25</v>
      </c>
      <c r="D796" t="s">
        <v>26</v>
      </c>
      <c r="E796" t="s">
        <v>103</v>
      </c>
      <c r="F796" t="s">
        <v>104</v>
      </c>
      <c r="G796" t="s">
        <v>19</v>
      </c>
      <c r="H796" t="s">
        <v>79</v>
      </c>
      <c r="I796" t="s">
        <v>31</v>
      </c>
      <c r="J796">
        <v>142766</v>
      </c>
      <c r="K796">
        <v>4</v>
      </c>
      <c r="L796">
        <v>-895.5</v>
      </c>
      <c r="M796" t="s">
        <v>90</v>
      </c>
      <c r="N796" t="s">
        <v>32</v>
      </c>
    </row>
    <row r="797" spans="1:14">
      <c r="A797" t="s">
        <v>938</v>
      </c>
      <c r="B797" s="1">
        <v>44960</v>
      </c>
      <c r="C797" t="s">
        <v>119</v>
      </c>
      <c r="D797" t="s">
        <v>120</v>
      </c>
      <c r="E797" t="s">
        <v>36</v>
      </c>
      <c r="F797" t="s">
        <v>37</v>
      </c>
      <c r="G797" t="s">
        <v>19</v>
      </c>
      <c r="H797" t="s">
        <v>154</v>
      </c>
      <c r="I797" t="s">
        <v>93</v>
      </c>
      <c r="J797">
        <v>2072</v>
      </c>
      <c r="K797">
        <v>2</v>
      </c>
      <c r="L797">
        <v>-310.8</v>
      </c>
      <c r="M797" t="s">
        <v>90</v>
      </c>
      <c r="N797" t="s">
        <v>75</v>
      </c>
    </row>
    <row r="798" spans="1:14">
      <c r="A798" t="s">
        <v>939</v>
      </c>
      <c r="B798" s="1">
        <v>45043</v>
      </c>
      <c r="C798" t="s">
        <v>61</v>
      </c>
      <c r="D798" t="s">
        <v>62</v>
      </c>
      <c r="E798" t="s">
        <v>135</v>
      </c>
      <c r="F798" t="s">
        <v>136</v>
      </c>
      <c r="G798" t="s">
        <v>69</v>
      </c>
      <c r="H798" t="s">
        <v>117</v>
      </c>
      <c r="I798" t="s">
        <v>93</v>
      </c>
      <c r="J798">
        <v>6897</v>
      </c>
      <c r="K798">
        <v>3</v>
      </c>
      <c r="L798">
        <v>-540</v>
      </c>
      <c r="M798" t="s">
        <v>63</v>
      </c>
      <c r="N798" t="s">
        <v>32</v>
      </c>
    </row>
    <row r="799" spans="1:14">
      <c r="A799" t="s">
        <v>940</v>
      </c>
      <c r="B799" s="1">
        <v>45058</v>
      </c>
      <c r="C799" t="s">
        <v>275</v>
      </c>
      <c r="D799" t="s">
        <v>276</v>
      </c>
      <c r="E799" t="s">
        <v>87</v>
      </c>
      <c r="F799" t="s">
        <v>88</v>
      </c>
      <c r="G799" t="s">
        <v>29</v>
      </c>
      <c r="H799" t="s">
        <v>177</v>
      </c>
      <c r="I799" t="s">
        <v>93</v>
      </c>
      <c r="J799">
        <v>1499</v>
      </c>
      <c r="K799">
        <v>1</v>
      </c>
      <c r="L799">
        <v>380</v>
      </c>
      <c r="M799" t="s">
        <v>22</v>
      </c>
      <c r="N799" t="s">
        <v>32</v>
      </c>
    </row>
    <row r="800" spans="1:14">
      <c r="A800" t="s">
        <v>941</v>
      </c>
      <c r="B800" s="1">
        <v>45199</v>
      </c>
      <c r="C800" t="s">
        <v>43</v>
      </c>
      <c r="D800" t="s">
        <v>44</v>
      </c>
      <c r="E800" t="s">
        <v>95</v>
      </c>
      <c r="F800" t="s">
        <v>96</v>
      </c>
      <c r="G800" t="s">
        <v>19</v>
      </c>
      <c r="H800" t="s">
        <v>74</v>
      </c>
      <c r="I800" t="s">
        <v>31</v>
      </c>
      <c r="J800">
        <v>124768</v>
      </c>
      <c r="K800">
        <v>4</v>
      </c>
      <c r="L800">
        <v>-6994</v>
      </c>
      <c r="M800" t="s">
        <v>22</v>
      </c>
      <c r="N800" t="s">
        <v>41</v>
      </c>
    </row>
    <row r="801" spans="1:14">
      <c r="A801" t="s">
        <v>942</v>
      </c>
      <c r="B801" s="1">
        <v>44964</v>
      </c>
      <c r="C801" t="s">
        <v>77</v>
      </c>
      <c r="D801" t="s">
        <v>78</v>
      </c>
      <c r="E801" t="s">
        <v>56</v>
      </c>
      <c r="F801" t="s">
        <v>57</v>
      </c>
      <c r="G801" t="s">
        <v>50</v>
      </c>
      <c r="H801" t="s">
        <v>117</v>
      </c>
      <c r="I801" t="s">
        <v>93</v>
      </c>
      <c r="J801">
        <v>4598</v>
      </c>
      <c r="K801">
        <v>2</v>
      </c>
      <c r="L801">
        <v>-360</v>
      </c>
      <c r="M801" t="s">
        <v>63</v>
      </c>
      <c r="N801" t="s">
        <v>130</v>
      </c>
    </row>
    <row r="802" spans="1:14">
      <c r="A802" t="s">
        <v>943</v>
      </c>
      <c r="B802" s="1">
        <v>45095</v>
      </c>
      <c r="C802" t="s">
        <v>65</v>
      </c>
      <c r="D802" t="s">
        <v>66</v>
      </c>
      <c r="E802" t="s">
        <v>157</v>
      </c>
      <c r="F802" t="s">
        <v>158</v>
      </c>
      <c r="G802" t="s">
        <v>29</v>
      </c>
      <c r="H802" t="s">
        <v>126</v>
      </c>
      <c r="I802" t="s">
        <v>21</v>
      </c>
      <c r="J802">
        <v>31999.200000000001</v>
      </c>
      <c r="K802">
        <v>1</v>
      </c>
      <c r="L802">
        <v>0</v>
      </c>
      <c r="M802" t="s">
        <v>22</v>
      </c>
      <c r="N802" t="s">
        <v>23</v>
      </c>
    </row>
    <row r="803" spans="1:14">
      <c r="A803" t="s">
        <v>944</v>
      </c>
      <c r="B803" s="1">
        <v>45128</v>
      </c>
      <c r="C803" t="s">
        <v>113</v>
      </c>
      <c r="D803" t="s">
        <v>114</v>
      </c>
      <c r="E803" t="s">
        <v>36</v>
      </c>
      <c r="F803" t="s">
        <v>37</v>
      </c>
      <c r="G803" t="s">
        <v>19</v>
      </c>
      <c r="H803" t="s">
        <v>70</v>
      </c>
      <c r="I803" t="s">
        <v>39</v>
      </c>
      <c r="J803">
        <v>741</v>
      </c>
      <c r="K803">
        <v>1</v>
      </c>
      <c r="L803">
        <v>210.75</v>
      </c>
      <c r="M803" t="s">
        <v>22</v>
      </c>
      <c r="N803" t="s">
        <v>32</v>
      </c>
    </row>
    <row r="804" spans="1:14">
      <c r="A804" t="s">
        <v>945</v>
      </c>
      <c r="B804" s="1">
        <v>44929</v>
      </c>
      <c r="C804" t="s">
        <v>54</v>
      </c>
      <c r="D804" t="s">
        <v>55</v>
      </c>
      <c r="E804" t="s">
        <v>36</v>
      </c>
      <c r="F804" t="s">
        <v>37</v>
      </c>
      <c r="G804" t="s">
        <v>19</v>
      </c>
      <c r="H804" t="s">
        <v>70</v>
      </c>
      <c r="I804" t="s">
        <v>39</v>
      </c>
      <c r="J804">
        <v>1248</v>
      </c>
      <c r="K804">
        <v>2</v>
      </c>
      <c r="L804">
        <v>246</v>
      </c>
      <c r="M804" t="s">
        <v>22</v>
      </c>
      <c r="N804" t="s">
        <v>32</v>
      </c>
    </row>
    <row r="805" spans="1:14">
      <c r="A805" t="s">
        <v>946</v>
      </c>
      <c r="B805" s="1">
        <v>45213</v>
      </c>
      <c r="C805" t="s">
        <v>47</v>
      </c>
      <c r="D805" t="s">
        <v>48</v>
      </c>
      <c r="E805" t="s">
        <v>135</v>
      </c>
      <c r="F805" t="s">
        <v>136</v>
      </c>
      <c r="G805" t="s">
        <v>69</v>
      </c>
      <c r="H805" t="s">
        <v>189</v>
      </c>
      <c r="I805" t="s">
        <v>59</v>
      </c>
      <c r="J805">
        <v>6660</v>
      </c>
      <c r="K805">
        <v>4</v>
      </c>
      <c r="L805">
        <v>805</v>
      </c>
      <c r="M805" t="s">
        <v>22</v>
      </c>
      <c r="N805" t="s">
        <v>41</v>
      </c>
    </row>
    <row r="806" spans="1:14">
      <c r="A806" t="s">
        <v>947</v>
      </c>
      <c r="B806" s="1">
        <v>45179</v>
      </c>
      <c r="C806" t="s">
        <v>25</v>
      </c>
      <c r="D806" t="s">
        <v>26</v>
      </c>
      <c r="E806" t="s">
        <v>98</v>
      </c>
      <c r="F806" t="s">
        <v>68</v>
      </c>
      <c r="G806" t="s">
        <v>69</v>
      </c>
      <c r="H806" t="s">
        <v>109</v>
      </c>
      <c r="I806" t="s">
        <v>31</v>
      </c>
      <c r="J806">
        <v>164970</v>
      </c>
      <c r="K806">
        <v>3</v>
      </c>
      <c r="L806">
        <v>17400</v>
      </c>
      <c r="M806" t="s">
        <v>40</v>
      </c>
      <c r="N806" t="s">
        <v>32</v>
      </c>
    </row>
    <row r="807" spans="1:14">
      <c r="A807" t="s">
        <v>948</v>
      </c>
      <c r="B807" s="1">
        <v>45136</v>
      </c>
      <c r="C807" t="s">
        <v>34</v>
      </c>
      <c r="D807" t="s">
        <v>35</v>
      </c>
      <c r="E807" t="s">
        <v>135</v>
      </c>
      <c r="F807" t="s">
        <v>136</v>
      </c>
      <c r="G807" t="s">
        <v>69</v>
      </c>
      <c r="H807" t="s">
        <v>137</v>
      </c>
      <c r="I807" t="s">
        <v>93</v>
      </c>
      <c r="J807">
        <v>3401</v>
      </c>
      <c r="K807">
        <v>2</v>
      </c>
      <c r="L807">
        <v>645.75</v>
      </c>
      <c r="M807" t="s">
        <v>90</v>
      </c>
      <c r="N807" t="s">
        <v>32</v>
      </c>
    </row>
    <row r="808" spans="1:14">
      <c r="A808" t="s">
        <v>949</v>
      </c>
      <c r="B808" s="1">
        <v>44972</v>
      </c>
      <c r="C808" t="s">
        <v>113</v>
      </c>
      <c r="D808" t="s">
        <v>114</v>
      </c>
      <c r="E808" t="s">
        <v>124</v>
      </c>
      <c r="F808" t="s">
        <v>125</v>
      </c>
      <c r="G808" t="s">
        <v>50</v>
      </c>
      <c r="H808" t="s">
        <v>126</v>
      </c>
      <c r="I808" t="s">
        <v>21</v>
      </c>
      <c r="J808">
        <v>39999</v>
      </c>
      <c r="K808">
        <v>1</v>
      </c>
      <c r="L808">
        <v>-5999.85</v>
      </c>
      <c r="M808" t="s">
        <v>40</v>
      </c>
      <c r="N808" t="s">
        <v>75</v>
      </c>
    </row>
    <row r="809" spans="1:14">
      <c r="A809" t="s">
        <v>950</v>
      </c>
      <c r="B809" s="1">
        <v>45191</v>
      </c>
      <c r="C809" t="s">
        <v>202</v>
      </c>
      <c r="D809" t="s">
        <v>203</v>
      </c>
      <c r="E809" t="s">
        <v>67</v>
      </c>
      <c r="F809" t="s">
        <v>68</v>
      </c>
      <c r="G809" t="s">
        <v>69</v>
      </c>
      <c r="H809" t="s">
        <v>184</v>
      </c>
      <c r="I809" t="s">
        <v>39</v>
      </c>
      <c r="J809">
        <v>945</v>
      </c>
      <c r="K809">
        <v>2</v>
      </c>
      <c r="L809">
        <v>271.25</v>
      </c>
      <c r="M809" t="s">
        <v>22</v>
      </c>
      <c r="N809" t="s">
        <v>32</v>
      </c>
    </row>
    <row r="810" spans="1:14">
      <c r="A810" t="s">
        <v>951</v>
      </c>
      <c r="B810" s="1">
        <v>44928</v>
      </c>
      <c r="C810" t="s">
        <v>101</v>
      </c>
      <c r="D810" t="s">
        <v>102</v>
      </c>
      <c r="E810" t="s">
        <v>103</v>
      </c>
      <c r="F810" t="s">
        <v>104</v>
      </c>
      <c r="G810" t="s">
        <v>19</v>
      </c>
      <c r="H810" t="s">
        <v>109</v>
      </c>
      <c r="I810" t="s">
        <v>31</v>
      </c>
      <c r="J810">
        <v>87984</v>
      </c>
      <c r="K810">
        <v>2</v>
      </c>
      <c r="L810">
        <v>-4897</v>
      </c>
      <c r="M810" t="s">
        <v>90</v>
      </c>
      <c r="N810" t="s">
        <v>32</v>
      </c>
    </row>
    <row r="811" spans="1:14">
      <c r="A811" t="s">
        <v>952</v>
      </c>
      <c r="B811" s="1">
        <v>45060</v>
      </c>
      <c r="C811" t="s">
        <v>145</v>
      </c>
      <c r="D811" t="s">
        <v>146</v>
      </c>
      <c r="E811" t="s">
        <v>84</v>
      </c>
      <c r="F811" t="s">
        <v>85</v>
      </c>
      <c r="G811" t="s">
        <v>69</v>
      </c>
      <c r="H811" t="s">
        <v>20</v>
      </c>
      <c r="I811" t="s">
        <v>21</v>
      </c>
      <c r="J811">
        <v>1019.15</v>
      </c>
      <c r="K811">
        <v>1</v>
      </c>
      <c r="L811">
        <v>-152.87</v>
      </c>
      <c r="M811" t="s">
        <v>40</v>
      </c>
      <c r="N811" t="s">
        <v>75</v>
      </c>
    </row>
    <row r="812" spans="1:14">
      <c r="A812" t="s">
        <v>953</v>
      </c>
      <c r="B812" s="1">
        <v>45117</v>
      </c>
      <c r="C812" t="s">
        <v>160</v>
      </c>
      <c r="D812" t="s">
        <v>161</v>
      </c>
      <c r="E812" t="s">
        <v>95</v>
      </c>
      <c r="F812" t="s">
        <v>96</v>
      </c>
      <c r="G812" t="s">
        <v>19</v>
      </c>
      <c r="H812" t="s">
        <v>74</v>
      </c>
      <c r="I812" t="s">
        <v>31</v>
      </c>
      <c r="J812">
        <v>116970</v>
      </c>
      <c r="K812">
        <v>3</v>
      </c>
      <c r="L812">
        <v>12300</v>
      </c>
      <c r="M812" t="s">
        <v>40</v>
      </c>
      <c r="N812" t="s">
        <v>32</v>
      </c>
    </row>
    <row r="813" spans="1:14">
      <c r="A813" t="s">
        <v>954</v>
      </c>
      <c r="B813" s="1">
        <v>45059</v>
      </c>
      <c r="C813" t="s">
        <v>220</v>
      </c>
      <c r="D813" t="s">
        <v>221</v>
      </c>
      <c r="E813" t="s">
        <v>36</v>
      </c>
      <c r="F813" t="s">
        <v>37</v>
      </c>
      <c r="G813" t="s">
        <v>19</v>
      </c>
      <c r="H813" t="s">
        <v>137</v>
      </c>
      <c r="I813" t="s">
        <v>93</v>
      </c>
      <c r="J813">
        <v>3043</v>
      </c>
      <c r="K813">
        <v>2</v>
      </c>
      <c r="L813">
        <v>377.25</v>
      </c>
      <c r="M813" t="s">
        <v>40</v>
      </c>
      <c r="N813" t="s">
        <v>32</v>
      </c>
    </row>
    <row r="814" spans="1:14">
      <c r="A814" t="s">
        <v>955</v>
      </c>
      <c r="B814" s="1">
        <v>45082</v>
      </c>
      <c r="C814" t="s">
        <v>61</v>
      </c>
      <c r="D814" t="s">
        <v>62</v>
      </c>
      <c r="E814" t="s">
        <v>84</v>
      </c>
      <c r="F814" t="s">
        <v>85</v>
      </c>
      <c r="G814" t="s">
        <v>69</v>
      </c>
      <c r="H814" t="s">
        <v>117</v>
      </c>
      <c r="I814" t="s">
        <v>93</v>
      </c>
      <c r="J814">
        <v>4598</v>
      </c>
      <c r="K814">
        <v>2</v>
      </c>
      <c r="L814">
        <v>-360</v>
      </c>
      <c r="M814" t="s">
        <v>63</v>
      </c>
      <c r="N814" t="s">
        <v>32</v>
      </c>
    </row>
    <row r="815" spans="1:14">
      <c r="A815" t="s">
        <v>956</v>
      </c>
      <c r="B815" s="1">
        <v>44957</v>
      </c>
      <c r="C815" t="s">
        <v>81</v>
      </c>
      <c r="D815" t="s">
        <v>82</v>
      </c>
      <c r="E815" t="s">
        <v>87</v>
      </c>
      <c r="F815" t="s">
        <v>88</v>
      </c>
      <c r="G815" t="s">
        <v>29</v>
      </c>
      <c r="H815" t="s">
        <v>206</v>
      </c>
      <c r="I815" t="s">
        <v>21</v>
      </c>
      <c r="J815">
        <v>165747.45000000001</v>
      </c>
      <c r="K815">
        <v>3</v>
      </c>
      <c r="L815">
        <v>-337.16</v>
      </c>
      <c r="M815" t="s">
        <v>63</v>
      </c>
      <c r="N815" t="s">
        <v>32</v>
      </c>
    </row>
    <row r="816" spans="1:14">
      <c r="A816" t="s">
        <v>957</v>
      </c>
      <c r="B816" s="1">
        <v>44952</v>
      </c>
      <c r="C816" t="s">
        <v>81</v>
      </c>
      <c r="D816" t="s">
        <v>82</v>
      </c>
      <c r="E816" t="s">
        <v>98</v>
      </c>
      <c r="F816" t="s">
        <v>68</v>
      </c>
      <c r="G816" t="s">
        <v>69</v>
      </c>
      <c r="H816" t="s">
        <v>206</v>
      </c>
      <c r="I816" t="s">
        <v>21</v>
      </c>
      <c r="J816">
        <v>194997</v>
      </c>
      <c r="K816">
        <v>3</v>
      </c>
      <c r="L816">
        <v>21600</v>
      </c>
      <c r="M816" t="s">
        <v>63</v>
      </c>
      <c r="N816" t="s">
        <v>32</v>
      </c>
    </row>
    <row r="817" spans="1:14">
      <c r="A817" t="s">
        <v>958</v>
      </c>
      <c r="B817" s="1">
        <v>45232</v>
      </c>
      <c r="C817" t="s">
        <v>81</v>
      </c>
      <c r="D817" t="s">
        <v>82</v>
      </c>
      <c r="E817" t="s">
        <v>157</v>
      </c>
      <c r="F817" t="s">
        <v>158</v>
      </c>
      <c r="G817" t="s">
        <v>29</v>
      </c>
      <c r="H817" t="s">
        <v>89</v>
      </c>
      <c r="I817" t="s">
        <v>21</v>
      </c>
      <c r="J817">
        <v>5127.1499999999996</v>
      </c>
      <c r="K817">
        <v>3</v>
      </c>
      <c r="L817">
        <v>937.61</v>
      </c>
      <c r="M817" t="s">
        <v>52</v>
      </c>
      <c r="N817" t="s">
        <v>32</v>
      </c>
    </row>
    <row r="818" spans="1:14">
      <c r="A818" t="s">
        <v>959</v>
      </c>
      <c r="B818" s="1">
        <v>45058</v>
      </c>
      <c r="C818" t="s">
        <v>101</v>
      </c>
      <c r="D818" t="s">
        <v>102</v>
      </c>
      <c r="E818" t="s">
        <v>141</v>
      </c>
      <c r="F818" t="s">
        <v>142</v>
      </c>
      <c r="G818" t="s">
        <v>50</v>
      </c>
      <c r="H818" t="s">
        <v>184</v>
      </c>
      <c r="I818" t="s">
        <v>39</v>
      </c>
      <c r="J818">
        <v>1680</v>
      </c>
      <c r="K818">
        <v>4</v>
      </c>
      <c r="L818">
        <v>385</v>
      </c>
      <c r="M818" t="s">
        <v>22</v>
      </c>
      <c r="N818" t="s">
        <v>41</v>
      </c>
    </row>
    <row r="819" spans="1:14">
      <c r="A819" t="s">
        <v>960</v>
      </c>
      <c r="B819" s="1">
        <v>45030</v>
      </c>
      <c r="C819" t="s">
        <v>122</v>
      </c>
      <c r="D819" t="s">
        <v>123</v>
      </c>
      <c r="E819" t="s">
        <v>67</v>
      </c>
      <c r="F819" t="s">
        <v>68</v>
      </c>
      <c r="G819" t="s">
        <v>69</v>
      </c>
      <c r="H819" t="s">
        <v>230</v>
      </c>
      <c r="I819" t="s">
        <v>39</v>
      </c>
      <c r="J819">
        <v>1233.0999999999999</v>
      </c>
      <c r="K819">
        <v>2</v>
      </c>
      <c r="L819">
        <v>391.32</v>
      </c>
      <c r="M819" t="s">
        <v>22</v>
      </c>
      <c r="N819" t="s">
        <v>130</v>
      </c>
    </row>
    <row r="820" spans="1:14">
      <c r="A820" t="s">
        <v>961</v>
      </c>
      <c r="B820" s="1">
        <v>45199</v>
      </c>
      <c r="C820" t="s">
        <v>145</v>
      </c>
      <c r="D820" t="s">
        <v>146</v>
      </c>
      <c r="E820" t="s">
        <v>141</v>
      </c>
      <c r="F820" t="s">
        <v>142</v>
      </c>
      <c r="G820" t="s">
        <v>50</v>
      </c>
      <c r="H820" t="s">
        <v>70</v>
      </c>
      <c r="I820" t="s">
        <v>39</v>
      </c>
      <c r="J820">
        <v>1872</v>
      </c>
      <c r="K820">
        <v>3</v>
      </c>
      <c r="L820">
        <v>369</v>
      </c>
      <c r="M820" t="s">
        <v>22</v>
      </c>
      <c r="N820" t="s">
        <v>32</v>
      </c>
    </row>
    <row r="821" spans="1:14">
      <c r="A821" t="s">
        <v>962</v>
      </c>
      <c r="B821" s="1">
        <v>45265</v>
      </c>
      <c r="C821" t="s">
        <v>15</v>
      </c>
      <c r="D821" t="s">
        <v>16</v>
      </c>
      <c r="E821" t="s">
        <v>56</v>
      </c>
      <c r="F821" t="s">
        <v>57</v>
      </c>
      <c r="G821" t="s">
        <v>50</v>
      </c>
      <c r="H821" t="s">
        <v>45</v>
      </c>
      <c r="I821" t="s">
        <v>21</v>
      </c>
      <c r="J821">
        <v>4156.8</v>
      </c>
      <c r="K821">
        <v>4</v>
      </c>
      <c r="L821">
        <v>-623.52</v>
      </c>
      <c r="M821" t="s">
        <v>63</v>
      </c>
      <c r="N821" t="s">
        <v>75</v>
      </c>
    </row>
    <row r="822" spans="1:14">
      <c r="A822" t="s">
        <v>963</v>
      </c>
      <c r="B822" s="1">
        <v>45113</v>
      </c>
      <c r="C822" t="s">
        <v>34</v>
      </c>
      <c r="D822" t="s">
        <v>35</v>
      </c>
      <c r="E822" t="s">
        <v>98</v>
      </c>
      <c r="F822" t="s">
        <v>68</v>
      </c>
      <c r="G822" t="s">
        <v>69</v>
      </c>
      <c r="H822" t="s">
        <v>74</v>
      </c>
      <c r="I822" t="s">
        <v>31</v>
      </c>
      <c r="J822">
        <v>33141.5</v>
      </c>
      <c r="K822">
        <v>1</v>
      </c>
      <c r="L822">
        <v>-286.38</v>
      </c>
      <c r="M822" t="s">
        <v>90</v>
      </c>
      <c r="N822" t="s">
        <v>32</v>
      </c>
    </row>
    <row r="823" spans="1:14">
      <c r="A823" t="s">
        <v>964</v>
      </c>
      <c r="B823" s="1">
        <v>44950</v>
      </c>
      <c r="C823" t="s">
        <v>15</v>
      </c>
      <c r="D823" t="s">
        <v>16</v>
      </c>
      <c r="E823" t="s">
        <v>67</v>
      </c>
      <c r="F823" t="s">
        <v>68</v>
      </c>
      <c r="G823" t="s">
        <v>69</v>
      </c>
      <c r="H823" t="s">
        <v>230</v>
      </c>
      <c r="I823" t="s">
        <v>39</v>
      </c>
      <c r="J823">
        <v>2336.4</v>
      </c>
      <c r="K823">
        <v>4</v>
      </c>
      <c r="L823">
        <v>0</v>
      </c>
      <c r="M823" t="s">
        <v>40</v>
      </c>
      <c r="N823" t="s">
        <v>23</v>
      </c>
    </row>
    <row r="824" spans="1:14">
      <c r="A824" t="s">
        <v>965</v>
      </c>
      <c r="B824" s="1">
        <v>45176</v>
      </c>
      <c r="C824" t="s">
        <v>119</v>
      </c>
      <c r="D824" t="s">
        <v>120</v>
      </c>
      <c r="E824" t="s">
        <v>103</v>
      </c>
      <c r="F824" t="s">
        <v>104</v>
      </c>
      <c r="G824" t="s">
        <v>19</v>
      </c>
      <c r="H824" t="s">
        <v>89</v>
      </c>
      <c r="I824" t="s">
        <v>21</v>
      </c>
      <c r="J824">
        <v>5756.8</v>
      </c>
      <c r="K824">
        <v>4</v>
      </c>
      <c r="L824">
        <v>-863.52</v>
      </c>
      <c r="M824" t="s">
        <v>63</v>
      </c>
      <c r="N824" t="s">
        <v>75</v>
      </c>
    </row>
    <row r="825" spans="1:14">
      <c r="A825" t="s">
        <v>966</v>
      </c>
      <c r="B825" s="1">
        <v>45210</v>
      </c>
      <c r="C825" t="s">
        <v>77</v>
      </c>
      <c r="D825" t="s">
        <v>78</v>
      </c>
      <c r="E825" t="s">
        <v>56</v>
      </c>
      <c r="F825" t="s">
        <v>57</v>
      </c>
      <c r="G825" t="s">
        <v>50</v>
      </c>
      <c r="H825" t="s">
        <v>143</v>
      </c>
      <c r="I825" t="s">
        <v>59</v>
      </c>
      <c r="J825">
        <v>11516.4</v>
      </c>
      <c r="K825">
        <v>4</v>
      </c>
      <c r="L825">
        <v>1240.3</v>
      </c>
      <c r="M825" t="s">
        <v>22</v>
      </c>
      <c r="N825" t="s">
        <v>41</v>
      </c>
    </row>
    <row r="826" spans="1:14">
      <c r="A826" t="s">
        <v>967</v>
      </c>
      <c r="B826" s="1">
        <v>44992</v>
      </c>
      <c r="C826" t="s">
        <v>202</v>
      </c>
      <c r="D826" t="s">
        <v>203</v>
      </c>
      <c r="E826" t="s">
        <v>103</v>
      </c>
      <c r="F826" t="s">
        <v>104</v>
      </c>
      <c r="G826" t="s">
        <v>19</v>
      </c>
      <c r="H826" t="s">
        <v>137</v>
      </c>
      <c r="I826" t="s">
        <v>93</v>
      </c>
      <c r="J826">
        <v>6086</v>
      </c>
      <c r="K826">
        <v>4</v>
      </c>
      <c r="L826">
        <v>754.5</v>
      </c>
      <c r="M826" t="s">
        <v>22</v>
      </c>
      <c r="N826" t="s">
        <v>41</v>
      </c>
    </row>
    <row r="827" spans="1:14">
      <c r="A827" t="s">
        <v>968</v>
      </c>
      <c r="B827" s="1">
        <v>45221</v>
      </c>
      <c r="C827" t="s">
        <v>77</v>
      </c>
      <c r="D827" t="s">
        <v>78</v>
      </c>
      <c r="E827" t="s">
        <v>124</v>
      </c>
      <c r="F827" t="s">
        <v>125</v>
      </c>
      <c r="G827" t="s">
        <v>50</v>
      </c>
      <c r="H827" t="s">
        <v>109</v>
      </c>
      <c r="I827" t="s">
        <v>31</v>
      </c>
      <c r="J827">
        <v>49491</v>
      </c>
      <c r="K827">
        <v>1</v>
      </c>
      <c r="L827">
        <v>1675.75</v>
      </c>
      <c r="M827" t="s">
        <v>22</v>
      </c>
      <c r="N827" t="s">
        <v>32</v>
      </c>
    </row>
    <row r="828" spans="1:14">
      <c r="A828" t="s">
        <v>969</v>
      </c>
      <c r="B828" s="1">
        <v>45005</v>
      </c>
      <c r="C828" t="s">
        <v>119</v>
      </c>
      <c r="D828" t="s">
        <v>120</v>
      </c>
      <c r="E828" t="s">
        <v>27</v>
      </c>
      <c r="F828" t="s">
        <v>28</v>
      </c>
      <c r="G828" t="s">
        <v>29</v>
      </c>
      <c r="H828" t="s">
        <v>105</v>
      </c>
      <c r="I828" t="s">
        <v>59</v>
      </c>
      <c r="J828">
        <v>49996</v>
      </c>
      <c r="K828">
        <v>4</v>
      </c>
      <c r="L828">
        <v>-5800</v>
      </c>
      <c r="M828" t="s">
        <v>40</v>
      </c>
      <c r="N828" t="s">
        <v>41</v>
      </c>
    </row>
    <row r="829" spans="1:14">
      <c r="A829" t="s">
        <v>970</v>
      </c>
      <c r="B829" s="1">
        <v>45012</v>
      </c>
      <c r="C829" t="s">
        <v>101</v>
      </c>
      <c r="D829" t="s">
        <v>102</v>
      </c>
      <c r="E829" t="s">
        <v>36</v>
      </c>
      <c r="F829" t="s">
        <v>37</v>
      </c>
      <c r="G829" t="s">
        <v>19</v>
      </c>
      <c r="H829" t="s">
        <v>70</v>
      </c>
      <c r="I829" t="s">
        <v>39</v>
      </c>
      <c r="J829">
        <v>1404</v>
      </c>
      <c r="K829">
        <v>2</v>
      </c>
      <c r="L829">
        <v>363</v>
      </c>
      <c r="M829" t="s">
        <v>90</v>
      </c>
      <c r="N829" t="s">
        <v>32</v>
      </c>
    </row>
    <row r="830" spans="1:14">
      <c r="A830" t="s">
        <v>971</v>
      </c>
      <c r="B830" s="1">
        <v>45243</v>
      </c>
      <c r="C830" t="s">
        <v>113</v>
      </c>
      <c r="D830" t="s">
        <v>114</v>
      </c>
      <c r="E830" t="s">
        <v>157</v>
      </c>
      <c r="F830" t="s">
        <v>158</v>
      </c>
      <c r="G830" t="s">
        <v>29</v>
      </c>
      <c r="H830" t="s">
        <v>20</v>
      </c>
      <c r="I830" t="s">
        <v>21</v>
      </c>
      <c r="J830">
        <v>2038.3</v>
      </c>
      <c r="K830">
        <v>2</v>
      </c>
      <c r="L830">
        <v>250.23</v>
      </c>
      <c r="M830" t="s">
        <v>22</v>
      </c>
      <c r="N830" t="s">
        <v>32</v>
      </c>
    </row>
    <row r="831" spans="1:14">
      <c r="A831" t="s">
        <v>972</v>
      </c>
      <c r="B831" s="1">
        <v>45011</v>
      </c>
      <c r="C831" t="s">
        <v>175</v>
      </c>
      <c r="D831" t="s">
        <v>176</v>
      </c>
      <c r="E831" t="s">
        <v>17</v>
      </c>
      <c r="F831" t="s">
        <v>18</v>
      </c>
      <c r="G831" t="s">
        <v>19</v>
      </c>
      <c r="H831" t="s">
        <v>89</v>
      </c>
      <c r="I831" t="s">
        <v>21</v>
      </c>
      <c r="J831">
        <v>1439.2</v>
      </c>
      <c r="K831">
        <v>1</v>
      </c>
      <c r="L831">
        <v>110.15</v>
      </c>
      <c r="M831" t="s">
        <v>22</v>
      </c>
      <c r="N831" t="s">
        <v>130</v>
      </c>
    </row>
    <row r="832" spans="1:14">
      <c r="A832" t="s">
        <v>973</v>
      </c>
      <c r="B832" s="1">
        <v>44959</v>
      </c>
      <c r="C832" t="s">
        <v>77</v>
      </c>
      <c r="D832" t="s">
        <v>78</v>
      </c>
      <c r="E832" t="s">
        <v>56</v>
      </c>
      <c r="F832" t="s">
        <v>57</v>
      </c>
      <c r="G832" t="s">
        <v>50</v>
      </c>
      <c r="H832" t="s">
        <v>177</v>
      </c>
      <c r="I832" t="s">
        <v>93</v>
      </c>
      <c r="J832">
        <v>5996</v>
      </c>
      <c r="K832">
        <v>4</v>
      </c>
      <c r="L832">
        <v>1520</v>
      </c>
      <c r="M832" t="s">
        <v>22</v>
      </c>
      <c r="N832" t="s">
        <v>32</v>
      </c>
    </row>
    <row r="833" spans="1:14">
      <c r="A833" t="s">
        <v>974</v>
      </c>
      <c r="B833" s="1">
        <v>45017</v>
      </c>
      <c r="C833" t="s">
        <v>43</v>
      </c>
      <c r="D833" t="s">
        <v>44</v>
      </c>
      <c r="E833" t="s">
        <v>17</v>
      </c>
      <c r="F833" t="s">
        <v>18</v>
      </c>
      <c r="G833" t="s">
        <v>19</v>
      </c>
      <c r="H833" t="s">
        <v>137</v>
      </c>
      <c r="I833" t="s">
        <v>93</v>
      </c>
      <c r="J833">
        <v>5101.5</v>
      </c>
      <c r="K833">
        <v>3</v>
      </c>
      <c r="L833">
        <v>968.62</v>
      </c>
      <c r="M833" t="s">
        <v>52</v>
      </c>
      <c r="N833" t="s">
        <v>41</v>
      </c>
    </row>
    <row r="834" spans="1:14">
      <c r="A834" t="s">
        <v>975</v>
      </c>
      <c r="B834" s="1">
        <v>45114</v>
      </c>
      <c r="C834" t="s">
        <v>113</v>
      </c>
      <c r="D834" t="s">
        <v>114</v>
      </c>
      <c r="E834" t="s">
        <v>84</v>
      </c>
      <c r="F834" t="s">
        <v>85</v>
      </c>
      <c r="G834" t="s">
        <v>69</v>
      </c>
      <c r="H834" t="s">
        <v>154</v>
      </c>
      <c r="I834" t="s">
        <v>93</v>
      </c>
      <c r="J834">
        <v>3496.5</v>
      </c>
      <c r="K834">
        <v>3</v>
      </c>
      <c r="L834">
        <v>638.62</v>
      </c>
      <c r="M834" t="s">
        <v>40</v>
      </c>
      <c r="N834" t="s">
        <v>32</v>
      </c>
    </row>
    <row r="835" spans="1:14">
      <c r="A835" t="s">
        <v>976</v>
      </c>
      <c r="B835" s="1">
        <v>45256</v>
      </c>
      <c r="C835" t="s">
        <v>77</v>
      </c>
      <c r="D835" t="s">
        <v>78</v>
      </c>
      <c r="E835" t="s">
        <v>141</v>
      </c>
      <c r="F835" t="s">
        <v>142</v>
      </c>
      <c r="G835" t="s">
        <v>50</v>
      </c>
      <c r="H835" t="s">
        <v>117</v>
      </c>
      <c r="I835" t="s">
        <v>93</v>
      </c>
      <c r="J835">
        <v>2299</v>
      </c>
      <c r="K835">
        <v>1</v>
      </c>
      <c r="L835">
        <v>0</v>
      </c>
      <c r="M835" t="s">
        <v>22</v>
      </c>
      <c r="N835" t="s">
        <v>23</v>
      </c>
    </row>
    <row r="836" spans="1:14">
      <c r="A836" t="s">
        <v>977</v>
      </c>
      <c r="B836" s="1">
        <v>45018</v>
      </c>
      <c r="C836" t="s">
        <v>47</v>
      </c>
      <c r="D836" t="s">
        <v>48</v>
      </c>
      <c r="E836" t="s">
        <v>135</v>
      </c>
      <c r="F836" t="s">
        <v>136</v>
      </c>
      <c r="G836" t="s">
        <v>69</v>
      </c>
      <c r="H836" t="s">
        <v>51</v>
      </c>
      <c r="I836" t="s">
        <v>31</v>
      </c>
      <c r="J836">
        <v>26997</v>
      </c>
      <c r="K836">
        <v>3</v>
      </c>
      <c r="L836">
        <v>3600</v>
      </c>
      <c r="M836" t="s">
        <v>22</v>
      </c>
      <c r="N836" t="s">
        <v>32</v>
      </c>
    </row>
    <row r="837" spans="1:14">
      <c r="A837" t="s">
        <v>978</v>
      </c>
      <c r="B837" s="1">
        <v>45287</v>
      </c>
      <c r="C837" t="s">
        <v>61</v>
      </c>
      <c r="D837" t="s">
        <v>62</v>
      </c>
      <c r="E837" t="s">
        <v>67</v>
      </c>
      <c r="F837" t="s">
        <v>68</v>
      </c>
      <c r="G837" t="s">
        <v>69</v>
      </c>
      <c r="H837" t="s">
        <v>20</v>
      </c>
      <c r="I837" t="s">
        <v>21</v>
      </c>
      <c r="J837">
        <v>2877.6</v>
      </c>
      <c r="K837">
        <v>3</v>
      </c>
      <c r="L837">
        <v>240.45</v>
      </c>
      <c r="M837" t="s">
        <v>63</v>
      </c>
      <c r="N837" t="s">
        <v>130</v>
      </c>
    </row>
    <row r="838" spans="1:14">
      <c r="A838" t="s">
        <v>979</v>
      </c>
      <c r="B838" s="1">
        <v>45189</v>
      </c>
      <c r="C838" t="s">
        <v>160</v>
      </c>
      <c r="D838" t="s">
        <v>161</v>
      </c>
      <c r="E838" t="s">
        <v>135</v>
      </c>
      <c r="F838" t="s">
        <v>136</v>
      </c>
      <c r="G838" t="s">
        <v>69</v>
      </c>
      <c r="H838" t="s">
        <v>128</v>
      </c>
      <c r="I838" t="s">
        <v>31</v>
      </c>
      <c r="J838">
        <v>2840.5</v>
      </c>
      <c r="K838">
        <v>2</v>
      </c>
      <c r="L838">
        <v>587.88</v>
      </c>
      <c r="M838" t="s">
        <v>90</v>
      </c>
      <c r="N838" t="s">
        <v>130</v>
      </c>
    </row>
    <row r="839" spans="1:14">
      <c r="A839" t="s">
        <v>980</v>
      </c>
      <c r="B839" s="1">
        <v>45044</v>
      </c>
      <c r="C839" t="s">
        <v>15</v>
      </c>
      <c r="D839" t="s">
        <v>16</v>
      </c>
      <c r="E839" t="s">
        <v>157</v>
      </c>
      <c r="F839" t="s">
        <v>158</v>
      </c>
      <c r="G839" t="s">
        <v>29</v>
      </c>
      <c r="H839" t="s">
        <v>99</v>
      </c>
      <c r="I839" t="s">
        <v>21</v>
      </c>
      <c r="J839">
        <v>1917.6</v>
      </c>
      <c r="K839">
        <v>3</v>
      </c>
      <c r="L839">
        <v>390.45</v>
      </c>
      <c r="M839" t="s">
        <v>63</v>
      </c>
      <c r="N839" t="s">
        <v>41</v>
      </c>
    </row>
    <row r="840" spans="1:14">
      <c r="A840" t="s">
        <v>981</v>
      </c>
      <c r="B840" s="1">
        <v>44940</v>
      </c>
      <c r="C840" t="s">
        <v>202</v>
      </c>
      <c r="D840" t="s">
        <v>203</v>
      </c>
      <c r="E840" t="s">
        <v>17</v>
      </c>
      <c r="F840" t="s">
        <v>18</v>
      </c>
      <c r="G840" t="s">
        <v>19</v>
      </c>
      <c r="H840" t="s">
        <v>89</v>
      </c>
      <c r="I840" t="s">
        <v>21</v>
      </c>
      <c r="J840">
        <v>1439.2</v>
      </c>
      <c r="K840">
        <v>1</v>
      </c>
      <c r="L840">
        <v>110.15</v>
      </c>
      <c r="M840" t="s">
        <v>63</v>
      </c>
      <c r="N840" t="s">
        <v>32</v>
      </c>
    </row>
    <row r="841" spans="1:14">
      <c r="A841" t="s">
        <v>982</v>
      </c>
      <c r="B841" s="1">
        <v>45249</v>
      </c>
      <c r="C841" t="s">
        <v>160</v>
      </c>
      <c r="D841" t="s">
        <v>161</v>
      </c>
      <c r="E841" t="s">
        <v>36</v>
      </c>
      <c r="F841" t="s">
        <v>37</v>
      </c>
      <c r="G841" t="s">
        <v>19</v>
      </c>
      <c r="H841" t="s">
        <v>128</v>
      </c>
      <c r="I841" t="s">
        <v>31</v>
      </c>
      <c r="J841">
        <v>2990</v>
      </c>
      <c r="K841">
        <v>2</v>
      </c>
      <c r="L841">
        <v>700</v>
      </c>
      <c r="M841" t="s">
        <v>40</v>
      </c>
      <c r="N841" t="s">
        <v>32</v>
      </c>
    </row>
    <row r="842" spans="1:14">
      <c r="A842" t="s">
        <v>983</v>
      </c>
      <c r="B842" s="1">
        <v>45223</v>
      </c>
      <c r="C842" t="s">
        <v>227</v>
      </c>
      <c r="D842" t="s">
        <v>228</v>
      </c>
      <c r="E842" t="s">
        <v>49</v>
      </c>
      <c r="F842" t="s">
        <v>49</v>
      </c>
      <c r="G842" t="s">
        <v>50</v>
      </c>
      <c r="H842" t="s">
        <v>206</v>
      </c>
      <c r="I842" t="s">
        <v>21</v>
      </c>
      <c r="J842">
        <v>175497.3</v>
      </c>
      <c r="K842">
        <v>3</v>
      </c>
      <c r="L842">
        <v>6975.22</v>
      </c>
      <c r="M842" t="s">
        <v>90</v>
      </c>
      <c r="N842" t="s">
        <v>32</v>
      </c>
    </row>
    <row r="843" spans="1:14">
      <c r="A843" t="s">
        <v>984</v>
      </c>
      <c r="B843" s="1">
        <v>45273</v>
      </c>
      <c r="C843" t="s">
        <v>275</v>
      </c>
      <c r="D843" t="s">
        <v>276</v>
      </c>
      <c r="E843" t="s">
        <v>124</v>
      </c>
      <c r="F843" t="s">
        <v>125</v>
      </c>
      <c r="G843" t="s">
        <v>50</v>
      </c>
      <c r="H843" t="s">
        <v>58</v>
      </c>
      <c r="I843" t="s">
        <v>59</v>
      </c>
      <c r="J843">
        <v>2409.75</v>
      </c>
      <c r="K843">
        <v>3</v>
      </c>
      <c r="L843">
        <v>311.06</v>
      </c>
      <c r="M843" t="s">
        <v>40</v>
      </c>
      <c r="N843" t="s">
        <v>32</v>
      </c>
    </row>
    <row r="844" spans="1:14">
      <c r="A844" t="s">
        <v>985</v>
      </c>
      <c r="B844" s="1">
        <v>45191</v>
      </c>
      <c r="C844" t="s">
        <v>145</v>
      </c>
      <c r="D844" t="s">
        <v>146</v>
      </c>
      <c r="E844" t="s">
        <v>95</v>
      </c>
      <c r="F844" t="s">
        <v>96</v>
      </c>
      <c r="G844" t="s">
        <v>19</v>
      </c>
      <c r="H844" t="s">
        <v>261</v>
      </c>
      <c r="I844" t="s">
        <v>21</v>
      </c>
      <c r="J844">
        <v>43998</v>
      </c>
      <c r="K844">
        <v>2</v>
      </c>
      <c r="L844">
        <v>4800</v>
      </c>
      <c r="M844" t="s">
        <v>63</v>
      </c>
      <c r="N844" t="s">
        <v>32</v>
      </c>
    </row>
    <row r="845" spans="1:14">
      <c r="A845" t="s">
        <v>986</v>
      </c>
      <c r="B845" s="1">
        <v>45147</v>
      </c>
      <c r="C845" t="s">
        <v>54</v>
      </c>
      <c r="D845" t="s">
        <v>55</v>
      </c>
      <c r="E845" t="s">
        <v>87</v>
      </c>
      <c r="F845" t="s">
        <v>88</v>
      </c>
      <c r="G845" t="s">
        <v>29</v>
      </c>
      <c r="H845" t="s">
        <v>177</v>
      </c>
      <c r="I845" t="s">
        <v>93</v>
      </c>
      <c r="J845">
        <v>5396.4</v>
      </c>
      <c r="K845">
        <v>4</v>
      </c>
      <c r="L845">
        <v>1070.3</v>
      </c>
      <c r="M845" t="s">
        <v>22</v>
      </c>
      <c r="N845" t="s">
        <v>32</v>
      </c>
    </row>
    <row r="846" spans="1:14">
      <c r="A846" t="s">
        <v>987</v>
      </c>
      <c r="B846" s="1">
        <v>45160</v>
      </c>
      <c r="C846" t="s">
        <v>47</v>
      </c>
      <c r="D846" t="s">
        <v>48</v>
      </c>
      <c r="E846" t="s">
        <v>135</v>
      </c>
      <c r="F846" t="s">
        <v>136</v>
      </c>
      <c r="G846" t="s">
        <v>69</v>
      </c>
      <c r="H846" t="s">
        <v>164</v>
      </c>
      <c r="I846" t="s">
        <v>39</v>
      </c>
      <c r="J846">
        <v>2848.1</v>
      </c>
      <c r="K846">
        <v>2</v>
      </c>
      <c r="L846">
        <v>607.58000000000004</v>
      </c>
      <c r="M846" t="s">
        <v>52</v>
      </c>
      <c r="N846" t="s">
        <v>32</v>
      </c>
    </row>
    <row r="847" spans="1:14">
      <c r="A847" t="s">
        <v>988</v>
      </c>
      <c r="B847" s="1">
        <v>45123</v>
      </c>
      <c r="C847" t="s">
        <v>145</v>
      </c>
      <c r="D847" t="s">
        <v>146</v>
      </c>
      <c r="E847" t="s">
        <v>36</v>
      </c>
      <c r="F847" t="s">
        <v>37</v>
      </c>
      <c r="G847" t="s">
        <v>19</v>
      </c>
      <c r="H847" t="s">
        <v>109</v>
      </c>
      <c r="I847" t="s">
        <v>31</v>
      </c>
      <c r="J847">
        <v>93483</v>
      </c>
      <c r="K847">
        <v>2</v>
      </c>
      <c r="L847">
        <v>-772.75</v>
      </c>
      <c r="M847" t="s">
        <v>40</v>
      </c>
      <c r="N847" t="s">
        <v>32</v>
      </c>
    </row>
    <row r="848" spans="1:14">
      <c r="A848" t="s">
        <v>989</v>
      </c>
      <c r="B848" s="1">
        <v>45135</v>
      </c>
      <c r="C848" t="s">
        <v>77</v>
      </c>
      <c r="D848" t="s">
        <v>78</v>
      </c>
      <c r="E848" t="s">
        <v>124</v>
      </c>
      <c r="F848" t="s">
        <v>125</v>
      </c>
      <c r="G848" t="s">
        <v>50</v>
      </c>
      <c r="H848" t="s">
        <v>79</v>
      </c>
      <c r="I848" t="s">
        <v>31</v>
      </c>
      <c r="J848">
        <v>71383</v>
      </c>
      <c r="K848">
        <v>2</v>
      </c>
      <c r="L848">
        <v>-447.75</v>
      </c>
      <c r="M848" t="s">
        <v>22</v>
      </c>
      <c r="N848" t="s">
        <v>32</v>
      </c>
    </row>
    <row r="849" spans="1:14">
      <c r="A849" t="s">
        <v>990</v>
      </c>
      <c r="B849" s="1">
        <v>45038</v>
      </c>
      <c r="C849" t="s">
        <v>113</v>
      </c>
      <c r="D849" t="s">
        <v>114</v>
      </c>
      <c r="E849" t="s">
        <v>27</v>
      </c>
      <c r="F849" t="s">
        <v>28</v>
      </c>
      <c r="G849" t="s">
        <v>29</v>
      </c>
      <c r="H849" t="s">
        <v>206</v>
      </c>
      <c r="I849" t="s">
        <v>21</v>
      </c>
      <c r="J849">
        <v>175497.3</v>
      </c>
      <c r="K849">
        <v>3</v>
      </c>
      <c r="L849">
        <v>6975.22</v>
      </c>
      <c r="M849" t="s">
        <v>63</v>
      </c>
      <c r="N849" t="s">
        <v>32</v>
      </c>
    </row>
    <row r="850" spans="1:14">
      <c r="A850" t="s">
        <v>991</v>
      </c>
      <c r="B850" s="1">
        <v>45168</v>
      </c>
      <c r="C850" t="s">
        <v>220</v>
      </c>
      <c r="D850" t="s">
        <v>221</v>
      </c>
      <c r="E850" t="s">
        <v>27</v>
      </c>
      <c r="F850" t="s">
        <v>28</v>
      </c>
      <c r="G850" t="s">
        <v>29</v>
      </c>
      <c r="H850" t="s">
        <v>137</v>
      </c>
      <c r="I850" t="s">
        <v>93</v>
      </c>
      <c r="J850">
        <v>1521.5</v>
      </c>
      <c r="K850">
        <v>1</v>
      </c>
      <c r="L850">
        <v>188.62</v>
      </c>
      <c r="M850" t="s">
        <v>63</v>
      </c>
      <c r="N850" t="s">
        <v>32</v>
      </c>
    </row>
    <row r="851" spans="1:14">
      <c r="A851" t="s">
        <v>992</v>
      </c>
      <c r="B851" s="1">
        <v>44963</v>
      </c>
      <c r="C851" t="s">
        <v>72</v>
      </c>
      <c r="D851" t="s">
        <v>73</v>
      </c>
      <c r="E851" t="s">
        <v>17</v>
      </c>
      <c r="F851" t="s">
        <v>18</v>
      </c>
      <c r="G851" t="s">
        <v>19</v>
      </c>
      <c r="H851" t="s">
        <v>128</v>
      </c>
      <c r="I851" t="s">
        <v>31</v>
      </c>
      <c r="J851">
        <v>1196</v>
      </c>
      <c r="K851">
        <v>1</v>
      </c>
      <c r="L851">
        <v>125.75</v>
      </c>
      <c r="M851" t="s">
        <v>22</v>
      </c>
      <c r="N851" t="s">
        <v>41</v>
      </c>
    </row>
  </sheetData>
  <pageMargins left="0.7" right="0.7" top="0.75" bottom="0.75" header="0.3" footer="0.3"/>
  <tableParts count="1">
    <tablePart r:id="rId1"/>
  </tableParts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BE61624-43FF-484B-9062-10DEE8C4EE1B}">
  <dimension ref="A1:B15"/>
  <sheetViews>
    <sheetView workbookViewId="0">
      <selection activeCell="B16" sqref="B16"/>
    </sheetView>
  </sheetViews>
  <sheetFormatPr defaultRowHeight="14.4"/>
  <cols>
    <col min="1" max="1" width="52.77734375" customWidth="1"/>
    <col min="2" max="2" width="13.33203125" customWidth="1"/>
  </cols>
  <sheetData>
    <row r="1" spans="1:2">
      <c r="A1" t="s">
        <v>993</v>
      </c>
      <c r="B1" t="s">
        <v>994</v>
      </c>
    </row>
    <row r="2" spans="1:2">
      <c r="A2" t="s">
        <v>995</v>
      </c>
      <c r="B2">
        <v>854</v>
      </c>
    </row>
    <row r="3" spans="1:2">
      <c r="A3" t="s">
        <v>996</v>
      </c>
      <c r="B3">
        <v>4</v>
      </c>
    </row>
    <row r="4" spans="1:2">
      <c r="A4" t="s">
        <v>997</v>
      </c>
      <c r="B4">
        <v>850</v>
      </c>
    </row>
    <row r="5" spans="1:2">
      <c r="A5" t="s">
        <v>998</v>
      </c>
      <c r="B5">
        <v>193</v>
      </c>
    </row>
    <row r="6" spans="1:2">
      <c r="A6" t="s">
        <v>999</v>
      </c>
      <c r="B6">
        <v>0</v>
      </c>
    </row>
    <row r="7" spans="1:2">
      <c r="A7" t="s">
        <v>1000</v>
      </c>
      <c r="B7">
        <v>0</v>
      </c>
    </row>
    <row r="8" spans="1:2">
      <c r="A8" t="s">
        <v>1001</v>
      </c>
      <c r="B8">
        <v>0</v>
      </c>
    </row>
    <row r="9" spans="1:2">
      <c r="A9" t="s">
        <v>1000</v>
      </c>
      <c r="B9">
        <v>0</v>
      </c>
    </row>
    <row r="10" spans="1:2">
      <c r="A10" t="s">
        <v>1002</v>
      </c>
      <c r="B10">
        <v>0</v>
      </c>
    </row>
    <row r="11" spans="1:2">
      <c r="A11" t="s">
        <v>1003</v>
      </c>
      <c r="B11">
        <v>0</v>
      </c>
    </row>
    <row r="12" spans="1:2">
      <c r="A12" t="s">
        <v>1004</v>
      </c>
      <c r="B12">
        <v>0</v>
      </c>
    </row>
    <row r="13" spans="1:2">
      <c r="A13" t="s">
        <v>1005</v>
      </c>
      <c r="B13">
        <v>0</v>
      </c>
    </row>
    <row r="14" spans="1:2">
      <c r="A14" t="s">
        <v>1006</v>
      </c>
      <c r="B14">
        <v>0</v>
      </c>
    </row>
    <row r="15" spans="1:2">
      <c r="A15" t="s">
        <v>1007</v>
      </c>
      <c r="B15" t="s">
        <v>1008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11</vt:i4>
      </vt:variant>
    </vt:vector>
  </HeadingPairs>
  <TitlesOfParts>
    <vt:vector size="11" baseType="lpstr">
      <vt:lpstr>Monthly Analysis</vt:lpstr>
      <vt:lpstr>Category Analysis</vt:lpstr>
      <vt:lpstr>Product Analysis</vt:lpstr>
      <vt:lpstr>Region Analysis</vt:lpstr>
      <vt:lpstr>State Analysis</vt:lpstr>
      <vt:lpstr>Payment Analysis</vt:lpstr>
      <vt:lpstr>Order Status Analysis</vt:lpstr>
      <vt:lpstr>KPI Summary</vt:lpstr>
      <vt:lpstr>Dashboard</vt:lpstr>
      <vt:lpstr>ecommerce_sales_cleaned</vt:lpstr>
      <vt:lpstr>Cleaning_log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Satyavati Nelwade</dc:creator>
  <cp:lastModifiedBy>Satyavati Nelwade</cp:lastModifiedBy>
  <dcterms:created xsi:type="dcterms:W3CDTF">2026-10-25T09:41:22Z</dcterms:created>
  <dcterms:modified xsi:type="dcterms:W3CDTF">2026-10-26T14:19:27Z</dcterms:modified>
</cp:coreProperties>
</file>